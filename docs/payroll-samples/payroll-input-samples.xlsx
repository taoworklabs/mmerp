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ộ mẫu" state="visible" r:id="rId4"/>
    <sheet sheetId="2" name="Giả định" state="visible" r:id="rId5"/>
    <sheet sheetId="3" name="Tham số" state="visible" r:id="rId6"/>
    <sheet sheetId="4" name="Nguồn" state="visible" r:id="rId7"/>
  </sheets>
  <calcPr calcId="171027"/>
</workbook>
</file>

<file path=xl/sharedStrings.xml><?xml version="1.0" encoding="utf-8"?>
<sst xmlns="http://schemas.openxmlformats.org/spreadsheetml/2006/main" count="328" uniqueCount="237">
  <si>
    <t>Mã</t>
  </si>
  <si>
    <t>Tình huống</t>
  </si>
  <si>
    <t>Kỳ</t>
  </si>
  <si>
    <t>Lương hợp đồng</t>
  </si>
  <si>
    <t>Phụ cấp lương (tính BH)</t>
  </si>
  <si>
    <t>Khoản hỗ trợ (không tính BH, chịu thuế)</t>
  </si>
  <si>
    <t>Sự kiện trong kỳ</t>
  </si>
  <si>
    <t>Số NPT</t>
  </si>
  <si>
    <t>Công chuẩn</t>
  </si>
  <si>
    <t>Công hưởng lương</t>
  </si>
  <si>
    <t>Lương theo công</t>
  </si>
  <si>
    <t>Giờ tăng ca</t>
  </si>
  <si>
    <t>Hệ số tăng ca</t>
  </si>
  <si>
    <t>Tiền tăng ca</t>
  </si>
  <si>
    <t>Phép chưa nghỉ được trả</t>
  </si>
  <si>
    <t>Truy lĩnh (+) / truy thu (−)</t>
  </si>
  <si>
    <t>Tổng thu nhập</t>
  </si>
  <si>
    <t>Thu nhập miễn thuế</t>
  </si>
  <si>
    <t>Lương đóng BH</t>
  </si>
  <si>
    <t>BHXH 8%</t>
  </si>
  <si>
    <t>BHYT 1,5%</t>
  </si>
  <si>
    <t>BHTN 1%</t>
  </si>
  <si>
    <t>Giảm trừ bản thân</t>
  </si>
  <si>
    <t>Giảm trừ NPT</t>
  </si>
  <si>
    <t>Thu nhập tính thuế</t>
  </si>
  <si>
    <t>Thuế TNCN</t>
  </si>
  <si>
    <t>Thực lĩnh</t>
  </si>
  <si>
    <t>DN: BHXH 17,5%</t>
  </si>
  <si>
    <t>DN: BHYT 3%</t>
  </si>
  <si>
    <t>DN: BHTN 1%</t>
  </si>
  <si>
    <t>DN: KPCĐ 2%</t>
  </si>
  <si>
    <t>Tổng chi phí lương của DN</t>
  </si>
  <si>
    <t>Giả định riêng của dòng</t>
  </si>
  <si>
    <t>Nguồn số liệu</t>
  </si>
  <si>
    <t>Trợ cấp thôi việc/mất việc</t>
  </si>
  <si>
    <t>S01</t>
  </si>
  <si>
    <t>Lương thấp, không phát sinh thuế</t>
  </si>
  <si>
    <t>04/2026</t>
  </si>
  <si>
    <t>Đủ công cả tháng</t>
  </si>
  <si>
    <t/>
  </si>
  <si>
    <t>thuế, BH người lao động và doanh nghiệp: khớp thue-2026; thuế khớp pit</t>
  </si>
  <si>
    <t>S02</t>
  </si>
  <si>
    <t>Một bậc thuế</t>
  </si>
  <si>
    <t>S03</t>
  </si>
  <si>
    <t>Hai bậc thuế</t>
  </si>
  <si>
    <t>S04</t>
  </si>
  <si>
    <t>Hai bậc thuế, 2 người phụ thuộc</t>
  </si>
  <si>
    <t>S05</t>
  </si>
  <si>
    <t>Ba bậc thuế, 1 người phụ thuộc</t>
  </si>
  <si>
    <t>S06</t>
  </si>
  <si>
    <t>Chạm trần BHXH/BHYT</t>
  </si>
  <si>
    <t>S07</t>
  </si>
  <si>
    <t>Chạm trần BHXH/BHYT, bốn bậc thuế</t>
  </si>
  <si>
    <t>S08</t>
  </si>
  <si>
    <t>Chạm trần cả BHTN, năm bậc thuế</t>
  </si>
  <si>
    <t>S09</t>
  </si>
  <si>
    <t>Năm bậc thuế, 3 người phụ thuộc</t>
  </si>
  <si>
    <t>S10</t>
  </si>
  <si>
    <t>Hỗ trợ xăng xe (không tính BH)</t>
  </si>
  <si>
    <t>Khoản 8.000.000 là hỗ trợ xăng xe, không phải phụ cấp lương: không tính BH, vẫn chịu thuế</t>
  </si>
  <si>
    <t>S11</t>
  </si>
  <si>
    <t>Phụ cấp trách nhiệm (tính BH), 1 người phụ thuộc</t>
  </si>
  <si>
    <t>Phụ cấp lương có mức cụ thể, trả đều mỗi kỳ: tính vào lương đóng BH</t>
  </si>
  <si>
    <t>C01</t>
  </si>
  <si>
    <t>Vào làm giữa kỳ, nghỉ dưới 14 ngày</t>
  </si>
  <si>
    <t>Vào làm 16/04/2026. Công hưởng lương 11 = 9 ngày làm + lễ 27/04 (nghỉ bù Giỗ Tổ) và 30/04</t>
  </si>
  <si>
    <t>Không làm việc 11 ngày &lt; 14 nên đóng BH đủ trên lương hợp đồng. CẦN HỎI cơ quan BHXH quản lý đơn vị: có nơi cho người vào làm sau ngày 15 đóng từ tháng sau</t>
  </si>
  <si>
    <t>thuế, BH người lao động và doanh nghiệp: khớp thue-2026; thuế khớp pit; chia lương theo công, phép chưa nghỉ: tự tính</t>
  </si>
  <si>
    <t>C02</t>
  </si>
  <si>
    <t>Vào làm giữa kỳ, nghỉ từ 14 ngày</t>
  </si>
  <si>
    <t>Vào làm 22/04/2026. Công hưởng lương 7 = 5 ngày làm + 2 ngày lễ</t>
  </si>
  <si>
    <t>Không làm việc 15 ngày ≥ 14 nên tháng này không đóng BHXH, BHYT, BHTN</t>
  </si>
  <si>
    <t>C03</t>
  </si>
  <si>
    <t>Nghỉ việc giữa kỳ, còn phép chưa nghỉ</t>
  </si>
  <si>
    <t>Ngày làm cuối 10/04/2026. Công hưởng lương 8. Còn 4 ngày phép năm chưa nghỉ</t>
  </si>
  <si>
    <t>Không làm việc 14 ngày ≥ 14 nên tháng này không đóng BH; lễ sau ngày nghỉ việc không được hưởng. Phép chưa nghỉ = lương HĐ tháng 03/2026 / 22 công × 4 (Điều 67 NĐ 145/2020); miễn thuế (khoản 8 Điều 4 Luật 109/2025), không tính BH</t>
  </si>
  <si>
    <t>C04</t>
  </si>
  <si>
    <t>Đổi lương giữa kỳ bằng phụ lục</t>
  </si>
  <si>
    <t>Phụ lục: lương 20.000.000 → 25.000.000 từ 16/04/2026. 01–15/04: 11 công; 16–30/04: 11 công</t>
  </si>
  <si>
    <t>Lương chia hai đoạn theo công. Lương đóng BH lấy mức hiệu lực cuối tháng (25.000.000)</t>
  </si>
  <si>
    <t>C05</t>
  </si>
  <si>
    <t>Nghỉ không lương</t>
  </si>
  <si>
    <t>Nghỉ không lương 3 ngày</t>
  </si>
  <si>
    <t>Nghỉ 3 ngày &lt; 14 nên đóng BH đủ</t>
  </si>
  <si>
    <t>C06</t>
  </si>
  <si>
    <t>Nghỉ ốm (BHXH chi trả)</t>
  </si>
  <si>
    <t>Nghỉ ốm 5 ngày có giấy</t>
  </si>
  <si>
    <t>Công ty không trả lương ngày ốm; trợ cấp ốm đau do BHXH chi, không qua bảng lương</t>
  </si>
  <si>
    <t>C07</t>
  </si>
  <si>
    <t>Nghỉ phép năm</t>
  </si>
  <si>
    <t>Nghỉ phép năm 2 ngày</t>
  </si>
  <si>
    <t>Phép năm hưởng nguyên lương nên vẫn đủ công</t>
  </si>
  <si>
    <t>C08</t>
  </si>
  <si>
    <t>Tăng ca ngày thường</t>
  </si>
  <si>
    <t>10 giờ tăng ca ngày thường, ban ngày</t>
  </si>
  <si>
    <t>Tiền tăng ca miễn thuế toàn bộ, không tính BH</t>
  </si>
  <si>
    <t>thuế, BH người lao động và doanh nghiệp: khớp thue-2026; thuế khớp pit; tăng ca: khớp thue-2026</t>
  </si>
  <si>
    <t>C09</t>
  </si>
  <si>
    <t>Tăng ca ngày nghỉ hằng tuần</t>
  </si>
  <si>
    <t>8 giờ tăng ca chủ nhật</t>
  </si>
  <si>
    <t>C10</t>
  </si>
  <si>
    <t>Tăng ca ngày lễ</t>
  </si>
  <si>
    <t>8 giờ tăng ca ngày 30/04/2026</t>
  </si>
  <si>
    <t>300% chưa gồm lương ngày lễ (đã nằm trong lương tháng)</t>
  </si>
  <si>
    <t>C11</t>
  </si>
  <si>
    <t>Tăng ca ban đêm</t>
  </si>
  <si>
    <t>4 giờ tăng ca ngày thường 22h–2h, ban ngày không tăng ca</t>
  </si>
  <si>
    <t>150% + 30% + 20% × 100% = 200% (Điều 57 NĐ 145/2020)</t>
  </si>
  <si>
    <t>C12</t>
  </si>
  <si>
    <t>Tăng ca, chạm trần BH, có người phụ thuộc</t>
  </si>
  <si>
    <t>12 giờ tăng ca ngày thường; 2 người phụ thuộc</t>
  </si>
  <si>
    <t>C13</t>
  </si>
  <si>
    <t>Truy lĩnh sai sót kỳ đã chốt</t>
  </si>
  <si>
    <t>Kỳ 03/2026 đã chốt bị thiếu 2.000.000 phụ cấp xăng xe (không tính BH)</t>
  </si>
  <si>
    <t>Trả bù ở kỳ đang mở; chịu thuế ở kỳ chi trả. Không sửa bảng lương 03/2026</t>
  </si>
  <si>
    <t>C14</t>
  </si>
  <si>
    <t>Truy thu sai sót kỳ đã chốt</t>
  </si>
  <si>
    <t>Kỳ 03/2026 đã chốt bị trả thừa 1.500.000 phụ cấp xăng xe (không tính BH)</t>
  </si>
  <si>
    <t>Thu lại ở kỳ đang mở và giảm thu nhập chịu thuế kỳ này; quyết toán năm tự cân. Không sửa bảng lương 03/2026</t>
  </si>
  <si>
    <t>C15</t>
  </si>
  <si>
    <t>Kỳ sau khi tăng lương cơ sở</t>
  </si>
  <si>
    <t>07/2026</t>
  </si>
  <si>
    <t>Kỳ 07/2026: lương cơ sở 2.530.000, trần BHXH/BHYT 50.600.000</t>
  </si>
  <si>
    <t>C16</t>
  </si>
  <si>
    <t>Tăng ca, có phụ cấp lương</t>
  </si>
  <si>
    <t>Phụ cấp trách nhiệm 3.000.000; 10 giờ tăng ca ngày thường</t>
  </si>
  <si>
    <t>Đơn giá giờ tính trên lương + phụ cấp lương (Điều 55 NĐ 145/2020)</t>
  </si>
  <si>
    <t>C17</t>
  </si>
  <si>
    <t>Tăng ca vượt 40 giờ/tháng</t>
  </si>
  <si>
    <t>44 giờ tăng ca ngày thường (11 ngày × 4 giờ)</t>
  </si>
  <si>
    <t>40 giờ đầu miễn thuế, 4 giờ vượt giới hạn chịu thuế. Hệ thống phải cảnh báo khi vượt</t>
  </si>
  <si>
    <t>C18</t>
  </si>
  <si>
    <t>Nghỉ việc theo thỏa thuận, có trợ cấp thôi việc</t>
  </si>
  <si>
    <t>Vào làm 01/07/2007, ngày làm cuối 15/04/2026 (thỏa thuận chấm dứt). Lương 20.000.000, phụ lục 24.000.000 từ 01/01/2026. Tham gia BHTN từ 01/01/2009: 207 tháng. Công hưởng lương 11</t>
  </si>
  <si>
    <t>Thời gian làm việc 225 tháng − 207 tháng đóng BHTN = 18 tháng = 1,5 năm (tháng lẻ ≤ 6 tính 1/2 năm, khoản 3 Điều 8 NĐ 145/2020). Lương bình quân 6 tháng liền kề 10/2025–03/2026 = 22.000.000 (khoản 5 Điều 8 NĐ 145/2020). Trợ cấp = 1,5 × 1/2 × 22.000.000 (Điều 46 BLLĐ 2019); không tính BH, không chịu thuế TNCN</t>
  </si>
  <si>
    <t>thuế, BH người lao động và doanh nghiệp: khớp thue-2026; thuế khớp pit; chia lương theo công, phép chưa nghỉ: tự tính; trợ cấp thôi việc/mất việc: tự tính</t>
  </si>
  <si>
    <t>C19</t>
  </si>
  <si>
    <t>Cho thôi việc do cơ cấu lại, trợ cấp mất việc tối thiểu</t>
  </si>
  <si>
    <t>Vào làm 01/03/2024, ngày làm cuối 30/04/2026 (cơ cấu lại, Điều 42 BLLĐ 2019). Đóng BHTN cả 26 tháng</t>
  </si>
  <si>
    <t>Thời gian tính trợ cấp 26 − 26 = 0 năm, nhưng trợ cấp mất việc ít nhất 2 tháng lương: 2 × 15.000.000 (Điều 47 BLLĐ 2019); không tính BH, không chịu thuế TNCN</t>
  </si>
  <si>
    <t>thuế, BH người lao động và doanh nghiệp: khớp thue-2026; thuế khớp pit; trợ cấp thôi việc/mất việc: tự tính</t>
  </si>
  <si>
    <t>#</t>
  </si>
  <si>
    <t>Điểm cần chốt</t>
  </si>
  <si>
    <t>Giả định của bộ mẫu</t>
  </si>
  <si>
    <t>Căn cứ</t>
  </si>
  <si>
    <t>Lịch làm việc</t>
  </si>
  <si>
    <t>Thứ Hai–thứ Sáu, 8 giờ/ngày; nghỉ thứ Bảy, Chủ nhật. Pháp nhân ở vùng I.</t>
  </si>
  <si>
    <t>Giả định của công ty mẫu</t>
  </si>
  <si>
    <t>Số ngày thứ Hai–thứ Sáu của tháng, kể cả ngày lễ rơi vào ngày làm việc (03/2026 và 04/2026: 22; 07/2026: 23).</t>
  </si>
  <si>
    <t>Điều 54 NĐ 145/2020: lương ngày = lương tháng / số ngày làm việc bình thường do doanh nghiệp chọn, tối đa 26</t>
  </si>
  <si>
    <t>Ngày công hưởng lương</t>
  </si>
  <si>
    <t>Ngày làm việc + ngày lễ, nghỉ bù + phép năm. Ngày lễ trước ngày vào làm hoặc sau ngày nghỉ việc không tính.</t>
  </si>
  <si>
    <t>Điều 112, 113 BLLĐ 2019</t>
  </si>
  <si>
    <t>Chia lương</t>
  </si>
  <si>
    <t>Lương theo công = ROUND((lương + phụ cấp lương + khoản hỗ trợ) × công hưởng lương / công chuẩn). Đổi lương giữa kỳ: chia từng đoạn theo công rồi cộng.</t>
  </si>
  <si>
    <t>Thông lệ; NĐ 145/2020 Điều 54</t>
  </si>
  <si>
    <t>Phụ cấp lương và khoản hỗ trợ</t>
  </si>
  <si>
    <t>Phụ cấp lương (chức vụ, trách nhiệm, độc hại…) và khoản bổ sung có mức cụ thể, trả đều mỗi kỳ: tính BH. Khoản hỗ trợ (xăng xe, điện thoại, ăn ca, nhà ở…): không tính BH. Khoản hỗ trợ trong mẫu đều chịu thuế.</t>
  </si>
  <si>
    <t>Luật BHXH 2024</t>
  </si>
  <si>
    <t>Đơn giá giờ tăng ca</t>
  </si>
  <si>
    <t>(Lương hợp đồng + phụ cấp lương) / công chuẩn / 8. Không gồm khoản hỗ trợ.</t>
  </si>
  <si>
    <t>Điều 55 NĐ 145/2020: tiền lương thực trả theo công việc đang làm</t>
  </si>
  <si>
    <t>Ngày thường 150%, nghỉ tuần 200%, lễ 300% (chưa gồm lương ngày lễ), đêm ngày thường không tăng ca ban ngày 200%.</t>
  </si>
  <si>
    <t>Điều 98 BLLĐ 2019; Điều 55, 57 NĐ 145/2020</t>
  </si>
  <si>
    <t>Thuế tiền tăng ca</t>
  </si>
  <si>
    <t>Miễn toàn bộ phần trong giới hạn: 40 giờ/tháng và 200 giờ/năm (300 giờ với ngành được phép). Phần vượt chịu thuế toàn bộ. Hệ thống phải cộng dồn giờ trong năm và cảnh báo khi vượt; bộ mẫu chỉ có trường hợp vượt giới hạn tháng.</t>
  </si>
  <si>
    <t>Luật Thuế TNCN 109/2025/QH15 khoản 8 Điều 4; Điều 107 BLLĐ 2019; Điều 60 NĐ 145/2020</t>
  </si>
  <si>
    <t>Phép năm chưa nghỉ khi thôi việc</t>
  </si>
  <si>
    <t>Lương HĐ của tháng liền trước tháng thôi việc / số ngày làm việc bình thường của tháng đó × số ngày chưa nghỉ. Miễn thuế, không tính BH.</t>
  </si>
  <si>
    <t>Khoản 3 Điều 113 BLLĐ 2019; Điều 67 NĐ 145/2020; khoản 8 Điều 4 Luật 109/2025 (Bộ Tài chính trả lời: gồm cả phép chưa nghỉ khi thôi việc)</t>
  </si>
  <si>
    <t>Trợ cấp thôi việc, mất việc</t>
  </si>
  <si>
    <t>Thời gian tính = số tháng làm việc (bỏ ngày lẻ) − số tháng đóng BHTN − số tháng đã chi trợ cấp; tháng lẻ ≤ 6 tính 1/2 năm, &gt; 6 tính 1 năm; làm đủ 12 tháng mới hưởng. Lương bình quân = lương + phụ cấp lương của hợp đồng hiệu lực cuối mỗi tháng trong 6 tháng liền trước tháng nghỉ việc. Thôi việc 1/2 tháng mỗi năm; mất việc 1 tháng mỗi năm, ít nhất 2 tháng. Trả ở bảng lương tháng nghỉ việc; không tính BH, không chịu thuế TNCN.</t>
  </si>
  <si>
    <t>Điều 46, 47, 48 BLLĐ 2019; khoản 3, 5 Điều 8 NĐ 145/2020; không tính vào thu nhập chịu thuế từ tiền lương (điểm b khoản 2 Điều 2 TT 111/2013/TT-BTC; Luật Thuế TNCN 109/2025/QH15, CẦN kế toán xác nhận điều khoản). Bỏ ngày lẻ và cách lấy 6 tháng là giả định</t>
  </si>
  <si>
    <t>Lương hợp đồng + phụ cấp lương, không chia theo công. Đổi lương giữa tháng: lấy mức hiệu lực cuối tháng.</t>
  </si>
  <si>
    <t>Luật BHXH 2024; mức cuối tháng là giả định</t>
  </si>
  <si>
    <t>Tháng nghỉ nhiều</t>
  </si>
  <si>
    <t>Không làm việc và không hưởng lương từ 14 ngày làm việc trở lên (gồm ngày trước khi vào làm, sau khi nghỉ việc, nghỉ ốm): không đóng BHXH, BHYT, BHTN, KPCĐ tháng đó.</t>
  </si>
  <si>
    <t>Luật BHXH 2024. Tính ngày trước khi vào làm là giả định: CẦN HỎI cơ quan BHXH quản lý đơn vị</t>
  </si>
  <si>
    <t>Phần doanh nghiệp đóng</t>
  </si>
  <si>
    <t>BHXH 17,5% (gồm TNLĐ-BNN 0,5%), BHYT 3%, KPCĐ 2% trên lương đóng BH, trần 20 × lương cơ sở; BHTN 1%, trần 20 × lương tối thiểu vùng.</t>
  </si>
  <si>
    <t>Luật BHXH 2024; Luật Việc làm 2025; Luật Công đoàn 2024 Điều 29</t>
  </si>
  <si>
    <t>Nghỉ ốm</t>
  </si>
  <si>
    <t>Công ty không trả lương; BHXH chi trợ cấp 75% ngoài bảng lương.</t>
  </si>
  <si>
    <t>Điều 45 Luật BHXH 2024</t>
  </si>
  <si>
    <t>Truy lĩnh, truy thu cùng năm</t>
  </si>
  <si>
    <t>Lập ở kỳ đang mở như một khoản cộng/trừ, chịu thuế ở kỳ chi trả; không sửa kỳ đã chốt. Khoản điều chỉnh trong mẫu không tính BH.</t>
  </si>
  <si>
    <t>Thời điểm xác định thu nhập chịu thuế là lúc trả; phần trừ vào kỳ sau là giả định</t>
  </si>
  <si>
    <t>Truy thu khác năm (CHƯA CHỐT)</t>
  </si>
  <si>
    <t>Ví dụ 01/2027 thu lại khoản trả thừa của 12/2026: trừ vào kỳ hiện tại thì quyết toán năm 2026 không tự cân. Cần quy tắc riêng; chưa có dòng mẫu.</t>
  </si>
  <si>
    <t>Cần tìm hướng dẫn của cơ quan thuế</t>
  </si>
  <si>
    <t>Khấu trừ thuế</t>
  </si>
  <si>
    <t>Mọi người là cá nhân cư trú, HĐ từ 3 tháng, khấu trừ theo biểu lũy tiến từng tháng.</t>
  </si>
  <si>
    <t>Luật Thuế TNCN 109/2025/QH15</t>
  </si>
  <si>
    <t>Làm tròn</t>
  </si>
  <si>
    <t>Từng khoản của từng người làm tròn tới đồng, nửa xa số 0 (chế độ line). Thực lĩnh không làm tròn thêm.</t>
  </si>
  <si>
    <t>ADR-0006</t>
  </si>
  <si>
    <t>Chưa có trong mẫu</t>
  </si>
  <si>
    <t>Trợ cấp thôi việc khi nhập muộn sau kỳ đã chốt, đoàn phí công đoàn của người lao động, khoản hỗ trợ miễn thuế (ăn ca…), người không cư trú, HĐ dưới 3 tháng, truy thu khác năm, vượt giới hạn tăng ca năm.</t>
  </si>
  <si>
    <t>Bổ sung khi cần</t>
  </si>
  <si>
    <t>Tham số</t>
  </si>
  <si>
    <t>Giá trị</t>
  </si>
  <si>
    <t>Hiệu lực</t>
  </si>
  <si>
    <t>Lương tối thiểu vùng I</t>
  </si>
  <si>
    <t>từ 01/01/2026</t>
  </si>
  <si>
    <t>Nghị định 293/2025/NĐ-CP</t>
  </si>
  <si>
    <t>Lương cơ sở</t>
  </si>
  <si>
    <t>tới 30/06/2026</t>
  </si>
  <si>
    <t>Nghị định 73/2024/NĐ-CP</t>
  </si>
  <si>
    <t>từ 01/07/2026</t>
  </si>
  <si>
    <t>Nghị định 161/2026/NĐ-CP</t>
  </si>
  <si>
    <t>Trần lương đóng BHXH, BHYT (20 × lương cơ sở)</t>
  </si>
  <si>
    <t>Trần lương đóng BHXH, BHYT</t>
  </si>
  <si>
    <t>Trần lương đóng BHTN vùng I (20 × lương tối thiểu vùng)</t>
  </si>
  <si>
    <t>Luật Việc làm 2025</t>
  </si>
  <si>
    <t>Người lao động: BHXH / BHYT / BHTN</t>
  </si>
  <si>
    <t>8% / 1,5% / 1%</t>
  </si>
  <si>
    <t>Luật BHXH 2024, Luật BHYT, Luật Việc làm 2025</t>
  </si>
  <si>
    <t>kỳ tính thuế 2026</t>
  </si>
  <si>
    <t>Nghị quyết 110/2025/UBTVQH15</t>
  </si>
  <si>
    <t>Giảm trừ mỗi người phụ thuộc</t>
  </si>
  <si>
    <t>Biểu thuế (tháng)</t>
  </si>
  <si>
    <t>≤10tr 5%; ≤30tr 10%; ≤60tr 20%; ≤100tr 30%; &gt;100tr 35%</t>
  </si>
  <si>
    <t>Ngày lễ 04/2026</t>
  </si>
  <si>
    <t>27/04 (nghỉ bù Giỗ Tổ 26/04), 30/04</t>
  </si>
  <si>
    <t>Lịch nghỉ lễ 2026 của Chính phủ</t>
  </si>
  <si>
    <t>Mục</t>
  </si>
  <si>
    <t>Chi tiết</t>
  </si>
  <si>
    <t>Người lập</t>
  </si>
  <si>
    <t>Claude (vai kế toán), từ quy định công khai. Đã qua một lượt soát của người dùng; CHƯA có kế toán thật duyệt.</t>
  </si>
  <si>
    <t>Đối chiếu</t>
  </si>
  <si>
    <t>Mọi dòng: BH người lao động và doanh nghiệp, thu nhập tính thuế và thuế khớp từng đồng với thue-2026; thuế khớp với pit. Dòng S: BH và thực lĩnh khớp thêm với pit. Dòng tăng ca: tiền tăng ca và phần chịu thuế khớp với bộ tính tăng ca của thue-2026. Chia lương theo công, phép chưa nghỉ và các giả định ở sheet "Giả định" không có nguồn đối chiếu.</t>
  </si>
  <si>
    <t>Công cụ 1</t>
  </si>
  <si>
    <t>https://github.com/thangtd-0050/pit @ 2844c5c</t>
  </si>
  <si>
    <t>Công cụ 2</t>
  </si>
  <si>
    <t>https://github.com/googlesky/thue-2026 @ 2e67d2e</t>
  </si>
  <si>
    <t>Giới hạn</t>
  </si>
  <si>
    <t>Hai công cụ là dự án cá nhân, không phải nguồn chính thức. Kế toán cần duyệt bộ mẫu trước khi dùng dữ liệu thật của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</si>
</sst>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3" fontId="0" fillId="0" borderId="0" xfId="0" applyNumberFormat="1"/>
    <xf numFmtId="0" fontId="0" fillId="0" borderId="0" xfId="0" applyAlignment="1">
      <alignment vertical="top" wrapText="1"/>
    </xf>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34" customWidth="1"/>
    <col min="4" max="4" width="14" style="1" customWidth="1"/>
    <col min="5" max="6" width="12" style="1" customWidth="1"/>
    <col min="7" max="7" width="44" style="2" customWidth="1"/>
    <col min="8" max="8" width="7" customWidth="1"/>
    <col min="9" max="9" width="8" customWidth="1"/>
    <col min="11" max="11" width="14" style="1" customWidth="1"/>
    <col min="12" max="13" width="8" customWidth="1"/>
    <col min="14" max="16" width="13" style="1" customWidth="1"/>
    <col min="17" max="17" width="14" style="1" customWidth="1"/>
    <col min="18" max="18" width="13" style="1" customWidth="1"/>
    <col min="19" max="19" width="14" style="1" customWidth="1"/>
    <col min="20" max="22" width="11" style="1" customWidth="1"/>
    <col min="23" max="24" width="13" style="1" customWidth="1"/>
    <col min="25" max="25" width="14" style="1" customWidth="1"/>
    <col min="26" max="26" width="12" style="1" customWidth="1"/>
    <col min="27" max="27" width="14" style="1" customWidth="1"/>
    <col min="28" max="28" width="12" style="1" customWidth="1"/>
    <col min="29" max="31" width="11" style="1" customWidth="1"/>
    <col min="32" max="32" width="15" style="1" customWidth="1"/>
    <col min="33" max="33" width="48" style="2" customWidth="1"/>
    <col min="34" max="34" width="40" customWidth="1"/>
    <col min="35" max="35" width="14" style="1" customWidth="1"/>
  </cols>
  <sheetData>
    <row r="1" spans="1:35" s="3" customFormat="1" x14ac:dyDescent="0.25">
      <c r="A1" s="3" t="s">
        <v>0</v>
      </c>
      <c r="B1" s="3" t="s">
        <v>1</v>
      </c>
      <c r="C1" s="3" t="s">
        <v>2</v>
      </c>
      <c r="D1" s="4" t="s">
        <v>3</v>
      </c>
      <c r="E1" s="4" t="s">
        <v>4</v>
      </c>
      <c r="F1" s="4" t="s">
        <v>5</v>
      </c>
      <c r="G1" s="3" t="s">
        <v>6</v>
      </c>
      <c r="H1" s="3" t="s">
        <v>7</v>
      </c>
      <c r="I1" s="3" t="s">
        <v>8</v>
      </c>
      <c r="J1" s="3" t="s">
        <v>9</v>
      </c>
      <c r="K1" s="4" t="s">
        <v>10</v>
      </c>
      <c r="L1" s="3" t="s">
        <v>11</v>
      </c>
      <c r="M1" s="3"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3" t="s">
        <v>32</v>
      </c>
      <c r="AH1" s="3" t="s">
        <v>33</v>
      </c>
      <c r="AI1" s="4" t="s">
        <v>34</v>
      </c>
    </row>
    <row r="2" spans="1:35" x14ac:dyDescent="0.25">
      <c r="A2" t="s">
        <v>35</v>
      </c>
      <c r="B2" t="s">
        <v>36</v>
      </c>
      <c r="C2" t="s">
        <v>37</v>
      </c>
      <c r="D2" s="1">
        <v>8000000</v>
      </c>
      <c r="E2" s="1">
        <v>0</v>
      </c>
      <c r="F2" s="1">
        <v>0</v>
      </c>
      <c r="G2" s="2" t="s">
        <v>38</v>
      </c>
      <c r="H2">
        <v>0</v>
      </c>
      <c r="I2">
        <v>22</v>
      </c>
      <c r="J2">
        <v>22</v>
      </c>
      <c r="K2" s="1">
        <f>ROUND((D2+E2+F2)*J2/I2,0)</f>
        <v>8000000</v>
      </c>
      <c r="L2">
        <v>0</v>
      </c>
      <c r="M2">
        <v>0</v>
      </c>
      <c r="N2" s="1">
        <f>ROUND((D2+E2)/I2/8*M2*L2,0)</f>
        <v>0</v>
      </c>
      <c r="O2" s="1">
        <f>0</f>
        <v>0</v>
      </c>
      <c r="P2" s="1">
        <v>0</v>
      </c>
      <c r="Q2" s="1">
        <f>K2+N2+O2+P2+AI2</f>
        <v>8000000</v>
      </c>
      <c r="R2" s="1">
        <f>ROUND((D2+E2)/I2/8*M2*MIN(L2,40),0)+O2+AI2</f>
        <v>0</v>
      </c>
      <c r="S2" s="1">
        <v>8000000</v>
      </c>
      <c r="T2" s="1">
        <v>640000</v>
      </c>
      <c r="U2" s="1">
        <v>120000</v>
      </c>
      <c r="V2" s="1">
        <v>80000</v>
      </c>
      <c r="W2" s="1">
        <v>15500000</v>
      </c>
      <c r="X2" s="1">
        <v>0</v>
      </c>
      <c r="Y2" s="1">
        <v>0</v>
      </c>
      <c r="Z2" s="1">
        <v>0</v>
      </c>
      <c r="AA2" s="1">
        <f>Q2-T2-U2-V2-Z2</f>
        <v>7160000</v>
      </c>
      <c r="AB2" s="1">
        <v>1400000</v>
      </c>
      <c r="AC2" s="1">
        <v>240000</v>
      </c>
      <c r="AD2" s="1">
        <v>80000</v>
      </c>
      <c r="AE2" s="1">
        <v>160000</v>
      </c>
      <c r="AF2" s="1">
        <f>Q2+AB2+AC2+AD2+AE2</f>
        <v>9880000</v>
      </c>
      <c r="AG2" s="2" t="s">
        <v>39</v>
      </c>
      <c r="AH2" t="s">
        <v>40</v>
      </c>
      <c r="AI2" s="1">
        <v>0</v>
      </c>
    </row>
    <row r="3" spans="1:35" x14ac:dyDescent="0.25">
      <c r="A3" t="s">
        <v>41</v>
      </c>
      <c r="B3" t="s">
        <v>42</v>
      </c>
      <c r="C3" t="s">
        <v>37</v>
      </c>
      <c r="D3" s="1">
        <v>18000000</v>
      </c>
      <c r="E3" s="1">
        <v>0</v>
      </c>
      <c r="F3" s="1">
        <v>0</v>
      </c>
      <c r="G3" s="2" t="s">
        <v>38</v>
      </c>
      <c r="H3">
        <v>0</v>
      </c>
      <c r="I3">
        <v>22</v>
      </c>
      <c r="J3">
        <v>22</v>
      </c>
      <c r="K3" s="1">
        <f>ROUND((D3+E3+F3)*J3/I3,0)</f>
        <v>18000000</v>
      </c>
      <c r="L3">
        <v>0</v>
      </c>
      <c r="M3">
        <v>0</v>
      </c>
      <c r="N3" s="1">
        <f>ROUND((D3+E3)/I3/8*M3*L3,0)</f>
        <v>0</v>
      </c>
      <c r="O3" s="1">
        <f>0</f>
        <v>0</v>
      </c>
      <c r="P3" s="1">
        <v>0</v>
      </c>
      <c r="Q3" s="1">
        <f>K3+N3+O3+P3+AI3</f>
        <v>18000000</v>
      </c>
      <c r="R3" s="1">
        <f>ROUND((D3+E3)/I3/8*M3*MIN(L3,40),0)+O3+AI3</f>
        <v>0</v>
      </c>
      <c r="S3" s="1">
        <v>18000000</v>
      </c>
      <c r="T3" s="1">
        <v>1440000</v>
      </c>
      <c r="U3" s="1">
        <v>270000</v>
      </c>
      <c r="V3" s="1">
        <v>180000</v>
      </c>
      <c r="W3" s="1">
        <v>15500000</v>
      </c>
      <c r="X3" s="1">
        <v>0</v>
      </c>
      <c r="Y3" s="1">
        <v>610000</v>
      </c>
      <c r="Z3" s="1">
        <v>30500</v>
      </c>
      <c r="AA3" s="1">
        <f>Q3-T3-U3-V3-Z3</f>
        <v>16079500</v>
      </c>
      <c r="AB3" s="1">
        <v>3150000</v>
      </c>
      <c r="AC3" s="1">
        <v>540000</v>
      </c>
      <c r="AD3" s="1">
        <v>180000</v>
      </c>
      <c r="AE3" s="1">
        <v>360000</v>
      </c>
      <c r="AF3" s="1">
        <f>Q3+AB3+AC3+AD3+AE3</f>
        <v>22230000</v>
      </c>
      <c r="AG3" s="2" t="s">
        <v>39</v>
      </c>
      <c r="AH3" t="s">
        <v>40</v>
      </c>
      <c r="AI3" s="1">
        <v>0</v>
      </c>
    </row>
    <row r="4" spans="1:35" x14ac:dyDescent="0.25">
      <c r="A4" t="s">
        <v>43</v>
      </c>
      <c r="B4" t="s">
        <v>44</v>
      </c>
      <c r="C4" t="s">
        <v>37</v>
      </c>
      <c r="D4" s="1">
        <v>30000000</v>
      </c>
      <c r="E4" s="1">
        <v>0</v>
      </c>
      <c r="F4" s="1">
        <v>0</v>
      </c>
      <c r="G4" s="2" t="s">
        <v>38</v>
      </c>
      <c r="H4">
        <v>0</v>
      </c>
      <c r="I4">
        <v>22</v>
      </c>
      <c r="J4">
        <v>22</v>
      </c>
      <c r="K4" s="1">
        <f>ROUND((D4+E4+F4)*J4/I4,0)</f>
        <v>30000000</v>
      </c>
      <c r="L4">
        <v>0</v>
      </c>
      <c r="M4">
        <v>0</v>
      </c>
      <c r="N4" s="1">
        <f>ROUND((D4+E4)/I4/8*M4*L4,0)</f>
        <v>0</v>
      </c>
      <c r="O4" s="1">
        <f>0</f>
        <v>0</v>
      </c>
      <c r="P4" s="1">
        <v>0</v>
      </c>
      <c r="Q4" s="1">
        <f>K4+N4+O4+P4+AI4</f>
        <v>30000000</v>
      </c>
      <c r="R4" s="1">
        <f>ROUND((D4+E4)/I4/8*M4*MIN(L4,40),0)+O4+AI4</f>
        <v>0</v>
      </c>
      <c r="S4" s="1">
        <v>30000000</v>
      </c>
      <c r="T4" s="1">
        <v>2400000</v>
      </c>
      <c r="U4" s="1">
        <v>450000</v>
      </c>
      <c r="V4" s="1">
        <v>300000</v>
      </c>
      <c r="W4" s="1">
        <v>15500000</v>
      </c>
      <c r="X4" s="1">
        <v>0</v>
      </c>
      <c r="Y4" s="1">
        <v>11350000</v>
      </c>
      <c r="Z4" s="1">
        <v>635000</v>
      </c>
      <c r="AA4" s="1">
        <f>Q4-T4-U4-V4-Z4</f>
        <v>26215000</v>
      </c>
      <c r="AB4" s="1">
        <v>5250000</v>
      </c>
      <c r="AC4" s="1">
        <v>900000</v>
      </c>
      <c r="AD4" s="1">
        <v>300000</v>
      </c>
      <c r="AE4" s="1">
        <v>600000</v>
      </c>
      <c r="AF4" s="1">
        <f>Q4+AB4+AC4+AD4+AE4</f>
        <v>37050000</v>
      </c>
      <c r="AG4" s="2" t="s">
        <v>39</v>
      </c>
      <c r="AH4" t="s">
        <v>40</v>
      </c>
      <c r="AI4" s="1">
        <v>0</v>
      </c>
    </row>
    <row r="5" spans="1:35" x14ac:dyDescent="0.25">
      <c r="A5" t="s">
        <v>45</v>
      </c>
      <c r="B5" t="s">
        <v>46</v>
      </c>
      <c r="C5" t="s">
        <v>37</v>
      </c>
      <c r="D5" s="1">
        <v>30000000</v>
      </c>
      <c r="E5" s="1">
        <v>0</v>
      </c>
      <c r="F5" s="1">
        <v>0</v>
      </c>
      <c r="G5" s="2" t="s">
        <v>38</v>
      </c>
      <c r="H5">
        <v>2</v>
      </c>
      <c r="I5">
        <v>22</v>
      </c>
      <c r="J5">
        <v>22</v>
      </c>
      <c r="K5" s="1">
        <f>ROUND((D5+E5+F5)*J5/I5,0)</f>
        <v>30000000</v>
      </c>
      <c r="L5">
        <v>0</v>
      </c>
      <c r="M5">
        <v>0</v>
      </c>
      <c r="N5" s="1">
        <f>ROUND((D5+E5)/I5/8*M5*L5,0)</f>
        <v>0</v>
      </c>
      <c r="O5" s="1">
        <f>0</f>
        <v>0</v>
      </c>
      <c r="P5" s="1">
        <v>0</v>
      </c>
      <c r="Q5" s="1">
        <f>K5+N5+O5+P5+AI5</f>
        <v>30000000</v>
      </c>
      <c r="R5" s="1">
        <f>ROUND((D5+E5)/I5/8*M5*MIN(L5,40),0)+O5+AI5</f>
        <v>0</v>
      </c>
      <c r="S5" s="1">
        <v>30000000</v>
      </c>
      <c r="T5" s="1">
        <v>2400000</v>
      </c>
      <c r="U5" s="1">
        <v>450000</v>
      </c>
      <c r="V5" s="1">
        <v>300000</v>
      </c>
      <c r="W5" s="1">
        <v>15500000</v>
      </c>
      <c r="X5" s="1">
        <v>12400000</v>
      </c>
      <c r="Y5" s="1">
        <v>0</v>
      </c>
      <c r="Z5" s="1">
        <v>0</v>
      </c>
      <c r="AA5" s="1">
        <f>Q5-T5-U5-V5-Z5</f>
        <v>26850000</v>
      </c>
      <c r="AB5" s="1">
        <v>5250000</v>
      </c>
      <c r="AC5" s="1">
        <v>900000</v>
      </c>
      <c r="AD5" s="1">
        <v>300000</v>
      </c>
      <c r="AE5" s="1">
        <v>600000</v>
      </c>
      <c r="AF5" s="1">
        <f>Q5+AB5+AC5+AD5+AE5</f>
        <v>37050000</v>
      </c>
      <c r="AG5" s="2" t="s">
        <v>39</v>
      </c>
      <c r="AH5" t="s">
        <v>40</v>
      </c>
      <c r="AI5" s="1">
        <v>0</v>
      </c>
    </row>
    <row r="6" spans="1:35" x14ac:dyDescent="0.25">
      <c r="A6" t="s">
        <v>47</v>
      </c>
      <c r="B6" t="s">
        <v>48</v>
      </c>
      <c r="C6" t="s">
        <v>37</v>
      </c>
      <c r="D6" s="1">
        <v>45000000</v>
      </c>
      <c r="E6" s="1">
        <v>0</v>
      </c>
      <c r="F6" s="1">
        <v>0</v>
      </c>
      <c r="G6" s="2" t="s">
        <v>38</v>
      </c>
      <c r="H6">
        <v>1</v>
      </c>
      <c r="I6">
        <v>22</v>
      </c>
      <c r="J6">
        <v>22</v>
      </c>
      <c r="K6" s="1">
        <f>ROUND((D6+E6+F6)*J6/I6,0)</f>
        <v>45000000</v>
      </c>
      <c r="L6">
        <v>0</v>
      </c>
      <c r="M6">
        <v>0</v>
      </c>
      <c r="N6" s="1">
        <f>ROUND((D6+E6)/I6/8*M6*L6,0)</f>
        <v>0</v>
      </c>
      <c r="O6" s="1">
        <f>0</f>
        <v>0</v>
      </c>
      <c r="P6" s="1">
        <v>0</v>
      </c>
      <c r="Q6" s="1">
        <f>K6+N6+O6+P6+AI6</f>
        <v>45000000</v>
      </c>
      <c r="R6" s="1">
        <f>ROUND((D6+E6)/I6/8*M6*MIN(L6,40),0)+O6+AI6</f>
        <v>0</v>
      </c>
      <c r="S6" s="1">
        <v>45000000</v>
      </c>
      <c r="T6" s="1">
        <v>3600000</v>
      </c>
      <c r="U6" s="1">
        <v>675000</v>
      </c>
      <c r="V6" s="1">
        <v>450000</v>
      </c>
      <c r="W6" s="1">
        <v>15500000</v>
      </c>
      <c r="X6" s="1">
        <v>6200000</v>
      </c>
      <c r="Y6" s="1">
        <v>18575000</v>
      </c>
      <c r="Z6" s="1">
        <v>1357500</v>
      </c>
      <c r="AA6" s="1">
        <f>Q6-T6-U6-V6-Z6</f>
        <v>38917500</v>
      </c>
      <c r="AB6" s="1">
        <v>7875000</v>
      </c>
      <c r="AC6" s="1">
        <v>1350000</v>
      </c>
      <c r="AD6" s="1">
        <v>450000</v>
      </c>
      <c r="AE6" s="1">
        <v>900000</v>
      </c>
      <c r="AF6" s="1">
        <f>Q6+AB6+AC6+AD6+AE6</f>
        <v>55575000</v>
      </c>
      <c r="AG6" s="2" t="s">
        <v>39</v>
      </c>
      <c r="AH6" t="s">
        <v>40</v>
      </c>
      <c r="AI6" s="1">
        <v>0</v>
      </c>
    </row>
    <row r="7" spans="1:35" x14ac:dyDescent="0.25">
      <c r="A7" t="s">
        <v>49</v>
      </c>
      <c r="B7" t="s">
        <v>50</v>
      </c>
      <c r="C7" t="s">
        <v>37</v>
      </c>
      <c r="D7" s="1">
        <v>55000000</v>
      </c>
      <c r="E7" s="1">
        <v>0</v>
      </c>
      <c r="F7" s="1">
        <v>0</v>
      </c>
      <c r="G7" s="2" t="s">
        <v>38</v>
      </c>
      <c r="H7">
        <v>0</v>
      </c>
      <c r="I7">
        <v>22</v>
      </c>
      <c r="J7">
        <v>22</v>
      </c>
      <c r="K7" s="1">
        <f>ROUND((D7+E7+F7)*J7/I7,0)</f>
        <v>55000000</v>
      </c>
      <c r="L7">
        <v>0</v>
      </c>
      <c r="M7">
        <v>0</v>
      </c>
      <c r="N7" s="1">
        <f>ROUND((D7+E7)/I7/8*M7*L7,0)</f>
        <v>0</v>
      </c>
      <c r="O7" s="1">
        <f>0</f>
        <v>0</v>
      </c>
      <c r="P7" s="1">
        <v>0</v>
      </c>
      <c r="Q7" s="1">
        <f>K7+N7+O7+P7+AI7</f>
        <v>55000000</v>
      </c>
      <c r="R7" s="1">
        <f>ROUND((D7+E7)/I7/8*M7*MIN(L7,40),0)+O7+AI7</f>
        <v>0</v>
      </c>
      <c r="S7" s="1">
        <v>55000000</v>
      </c>
      <c r="T7" s="1">
        <v>3744000</v>
      </c>
      <c r="U7" s="1">
        <v>702000</v>
      </c>
      <c r="V7" s="1">
        <v>550000</v>
      </c>
      <c r="W7" s="1">
        <v>15500000</v>
      </c>
      <c r="X7" s="1">
        <v>0</v>
      </c>
      <c r="Y7" s="1">
        <v>34504000</v>
      </c>
      <c r="Z7" s="1">
        <v>3400800</v>
      </c>
      <c r="AA7" s="1">
        <f>Q7-T7-U7-V7-Z7</f>
        <v>46603200</v>
      </c>
      <c r="AB7" s="1">
        <v>8190000</v>
      </c>
      <c r="AC7" s="1">
        <v>1404000</v>
      </c>
      <c r="AD7" s="1">
        <v>550000</v>
      </c>
      <c r="AE7" s="1">
        <v>936000</v>
      </c>
      <c r="AF7" s="1">
        <f>Q7+AB7+AC7+AD7+AE7</f>
        <v>66080000</v>
      </c>
      <c r="AG7" s="2" t="s">
        <v>39</v>
      </c>
      <c r="AH7" t="s">
        <v>40</v>
      </c>
      <c r="AI7" s="1">
        <v>0</v>
      </c>
    </row>
    <row r="8" spans="1:35" x14ac:dyDescent="0.25">
      <c r="A8" t="s">
        <v>51</v>
      </c>
      <c r="B8" t="s">
        <v>52</v>
      </c>
      <c r="C8" t="s">
        <v>37</v>
      </c>
      <c r="D8" s="1">
        <v>90000000</v>
      </c>
      <c r="E8" s="1">
        <v>0</v>
      </c>
      <c r="F8" s="1">
        <v>0</v>
      </c>
      <c r="G8" s="2" t="s">
        <v>38</v>
      </c>
      <c r="H8">
        <v>0</v>
      </c>
      <c r="I8">
        <v>22</v>
      </c>
      <c r="J8">
        <v>22</v>
      </c>
      <c r="K8" s="1">
        <f>ROUND((D8+E8+F8)*J8/I8,0)</f>
        <v>90000000</v>
      </c>
      <c r="L8">
        <v>0</v>
      </c>
      <c r="M8">
        <v>0</v>
      </c>
      <c r="N8" s="1">
        <f>ROUND((D8+E8)/I8/8*M8*L8,0)</f>
        <v>0</v>
      </c>
      <c r="O8" s="1">
        <f>0</f>
        <v>0</v>
      </c>
      <c r="P8" s="1">
        <v>0</v>
      </c>
      <c r="Q8" s="1">
        <f>K8+N8+O8+P8+AI8</f>
        <v>90000000</v>
      </c>
      <c r="R8" s="1">
        <f>ROUND((D8+E8)/I8/8*M8*MIN(L8,40),0)+O8+AI8</f>
        <v>0</v>
      </c>
      <c r="S8" s="1">
        <v>90000000</v>
      </c>
      <c r="T8" s="1">
        <v>3744000</v>
      </c>
      <c r="U8" s="1">
        <v>702000</v>
      </c>
      <c r="V8" s="1">
        <v>900000</v>
      </c>
      <c r="W8" s="1">
        <v>15500000</v>
      </c>
      <c r="X8" s="1">
        <v>0</v>
      </c>
      <c r="Y8" s="1">
        <v>69154000</v>
      </c>
      <c r="Z8" s="1">
        <v>11246200</v>
      </c>
      <c r="AA8" s="1">
        <f>Q8-T8-U8-V8-Z8</f>
        <v>73407800</v>
      </c>
      <c r="AB8" s="1">
        <v>8190000</v>
      </c>
      <c r="AC8" s="1">
        <v>1404000</v>
      </c>
      <c r="AD8" s="1">
        <v>900000</v>
      </c>
      <c r="AE8" s="1">
        <v>936000</v>
      </c>
      <c r="AF8" s="1">
        <f>Q8+AB8+AC8+AD8+AE8</f>
        <v>101430000</v>
      </c>
      <c r="AG8" s="2" t="s">
        <v>39</v>
      </c>
      <c r="AH8" t="s">
        <v>40</v>
      </c>
      <c r="AI8" s="1">
        <v>0</v>
      </c>
    </row>
    <row r="9" spans="1:35" x14ac:dyDescent="0.25">
      <c r="A9" t="s">
        <v>53</v>
      </c>
      <c r="B9" t="s">
        <v>54</v>
      </c>
      <c r="C9" t="s">
        <v>37</v>
      </c>
      <c r="D9" s="1">
        <v>120000000</v>
      </c>
      <c r="E9" s="1">
        <v>0</v>
      </c>
      <c r="F9" s="1">
        <v>0</v>
      </c>
      <c r="G9" s="2" t="s">
        <v>38</v>
      </c>
      <c r="H9">
        <v>0</v>
      </c>
      <c r="I9">
        <v>22</v>
      </c>
      <c r="J9">
        <v>22</v>
      </c>
      <c r="K9" s="1">
        <f>ROUND((D9+E9+F9)*J9/I9,0)</f>
        <v>120000000</v>
      </c>
      <c r="L9">
        <v>0</v>
      </c>
      <c r="M9">
        <v>0</v>
      </c>
      <c r="N9" s="1">
        <f>ROUND((D9+E9)/I9/8*M9*L9,0)</f>
        <v>0</v>
      </c>
      <c r="O9" s="1">
        <f>0</f>
        <v>0</v>
      </c>
      <c r="P9" s="1">
        <v>0</v>
      </c>
      <c r="Q9" s="1">
        <f>K9+N9+O9+P9+AI9</f>
        <v>120000000</v>
      </c>
      <c r="R9" s="1">
        <f>ROUND((D9+E9)/I9/8*M9*MIN(L9,40),0)+O9+AI9</f>
        <v>0</v>
      </c>
      <c r="S9" s="1">
        <v>120000000</v>
      </c>
      <c r="T9" s="1">
        <v>3744000</v>
      </c>
      <c r="U9" s="1">
        <v>702000</v>
      </c>
      <c r="V9" s="1">
        <v>1062000</v>
      </c>
      <c r="W9" s="1">
        <v>15500000</v>
      </c>
      <c r="X9" s="1">
        <v>0</v>
      </c>
      <c r="Y9" s="1">
        <v>98992000</v>
      </c>
      <c r="Z9" s="1">
        <v>20197600</v>
      </c>
      <c r="AA9" s="1">
        <f>Q9-T9-U9-V9-Z9</f>
        <v>94294400</v>
      </c>
      <c r="AB9" s="1">
        <v>8190000</v>
      </c>
      <c r="AC9" s="1">
        <v>1404000</v>
      </c>
      <c r="AD9" s="1">
        <v>1062000</v>
      </c>
      <c r="AE9" s="1">
        <v>936000</v>
      </c>
      <c r="AF9" s="1">
        <f>Q9+AB9+AC9+AD9+AE9</f>
        <v>131592000</v>
      </c>
      <c r="AG9" s="2" t="s">
        <v>39</v>
      </c>
      <c r="AH9" t="s">
        <v>40</v>
      </c>
      <c r="AI9" s="1">
        <v>0</v>
      </c>
    </row>
    <row r="10" spans="1:35" x14ac:dyDescent="0.25">
      <c r="A10" t="s">
        <v>55</v>
      </c>
      <c r="B10" t="s">
        <v>56</v>
      </c>
      <c r="C10" t="s">
        <v>37</v>
      </c>
      <c r="D10" s="1">
        <v>150000000</v>
      </c>
      <c r="E10" s="1">
        <v>0</v>
      </c>
      <c r="F10" s="1">
        <v>0</v>
      </c>
      <c r="G10" s="2" t="s">
        <v>38</v>
      </c>
      <c r="H10">
        <v>3</v>
      </c>
      <c r="I10">
        <v>22</v>
      </c>
      <c r="J10">
        <v>22</v>
      </c>
      <c r="K10" s="1">
        <f>ROUND((D10+E10+F10)*J10/I10,0)</f>
        <v>150000000</v>
      </c>
      <c r="L10">
        <v>0</v>
      </c>
      <c r="M10">
        <v>0</v>
      </c>
      <c r="N10" s="1">
        <f>ROUND((D10+E10)/I10/8*M10*L10,0)</f>
        <v>0</v>
      </c>
      <c r="O10" s="1">
        <f>0</f>
        <v>0</v>
      </c>
      <c r="P10" s="1">
        <v>0</v>
      </c>
      <c r="Q10" s="1">
        <f>K10+N10+O10+P10+AI10</f>
        <v>150000000</v>
      </c>
      <c r="R10" s="1">
        <f>ROUND((D10+E10)/I10/8*M10*MIN(L10,40),0)+O10+AI10</f>
        <v>0</v>
      </c>
      <c r="S10" s="1">
        <v>150000000</v>
      </c>
      <c r="T10" s="1">
        <v>3744000</v>
      </c>
      <c r="U10" s="1">
        <v>702000</v>
      </c>
      <c r="V10" s="1">
        <v>1062000</v>
      </c>
      <c r="W10" s="1">
        <v>15500000</v>
      </c>
      <c r="X10" s="1">
        <v>18600000</v>
      </c>
      <c r="Y10" s="1">
        <v>110392000</v>
      </c>
      <c r="Z10" s="1">
        <v>24137200</v>
      </c>
      <c r="AA10" s="1">
        <f>Q10-T10-U10-V10-Z10</f>
        <v>120354800</v>
      </c>
      <c r="AB10" s="1">
        <v>8190000</v>
      </c>
      <c r="AC10" s="1">
        <v>1404000</v>
      </c>
      <c r="AD10" s="1">
        <v>1062000</v>
      </c>
      <c r="AE10" s="1">
        <v>936000</v>
      </c>
      <c r="AF10" s="1">
        <f>Q10+AB10+AC10+AD10+AE10</f>
        <v>161592000</v>
      </c>
      <c r="AG10" s="2" t="s">
        <v>39</v>
      </c>
      <c r="AH10" t="s">
        <v>40</v>
      </c>
      <c r="AI10" s="1">
        <v>0</v>
      </c>
    </row>
    <row r="11" spans="1:35" x14ac:dyDescent="0.25">
      <c r="A11" t="s">
        <v>57</v>
      </c>
      <c r="B11" t="s">
        <v>58</v>
      </c>
      <c r="C11" t="s">
        <v>37</v>
      </c>
      <c r="D11" s="1">
        <v>22000000</v>
      </c>
      <c r="E11" s="1">
        <v>0</v>
      </c>
      <c r="F11" s="1">
        <v>8000000</v>
      </c>
      <c r="G11" s="2" t="s">
        <v>38</v>
      </c>
      <c r="H11">
        <v>0</v>
      </c>
      <c r="I11">
        <v>22</v>
      </c>
      <c r="J11">
        <v>22</v>
      </c>
      <c r="K11" s="1">
        <f>ROUND((D11+E11+F11)*J11/I11,0)</f>
        <v>30000000</v>
      </c>
      <c r="L11">
        <v>0</v>
      </c>
      <c r="M11">
        <v>0</v>
      </c>
      <c r="N11" s="1">
        <f>ROUND((D11+E11)/I11/8*M11*L11,0)</f>
        <v>0</v>
      </c>
      <c r="O11" s="1">
        <f>0</f>
        <v>0</v>
      </c>
      <c r="P11" s="1">
        <v>0</v>
      </c>
      <c r="Q11" s="1">
        <f>K11+N11+O11+P11+AI11</f>
        <v>30000000</v>
      </c>
      <c r="R11" s="1">
        <f>ROUND((D11+E11)/I11/8*M11*MIN(L11,40),0)+O11+AI11</f>
        <v>0</v>
      </c>
      <c r="S11" s="1">
        <v>22000000</v>
      </c>
      <c r="T11" s="1">
        <v>1760000</v>
      </c>
      <c r="U11" s="1">
        <v>330000</v>
      </c>
      <c r="V11" s="1">
        <v>220000</v>
      </c>
      <c r="W11" s="1">
        <v>15500000</v>
      </c>
      <c r="X11" s="1">
        <v>0</v>
      </c>
      <c r="Y11" s="1">
        <v>12190000</v>
      </c>
      <c r="Z11" s="1">
        <v>719000</v>
      </c>
      <c r="AA11" s="1">
        <f>Q11-T11-U11-V11-Z11</f>
        <v>26971000</v>
      </c>
      <c r="AB11" s="1">
        <v>3850000</v>
      </c>
      <c r="AC11" s="1">
        <v>660000</v>
      </c>
      <c r="AD11" s="1">
        <v>220000</v>
      </c>
      <c r="AE11" s="1">
        <v>440000</v>
      </c>
      <c r="AF11" s="1">
        <f>Q11+AB11+AC11+AD11+AE11</f>
        <v>35170000</v>
      </c>
      <c r="AG11" s="2" t="s">
        <v>59</v>
      </c>
      <c r="AH11" t="s">
        <v>40</v>
      </c>
      <c r="AI11" s="1">
        <v>0</v>
      </c>
    </row>
    <row r="12" spans="1:35" x14ac:dyDescent="0.25">
      <c r="A12" t="s">
        <v>60</v>
      </c>
      <c r="B12" t="s">
        <v>61</v>
      </c>
      <c r="C12" t="s">
        <v>37</v>
      </c>
      <c r="D12" s="1">
        <v>22000000</v>
      </c>
      <c r="E12" s="1">
        <v>3000000</v>
      </c>
      <c r="F12" s="1">
        <v>0</v>
      </c>
      <c r="G12" s="2" t="s">
        <v>38</v>
      </c>
      <c r="H12">
        <v>1</v>
      </c>
      <c r="I12">
        <v>22</v>
      </c>
      <c r="J12">
        <v>22</v>
      </c>
      <c r="K12" s="1">
        <f>ROUND((D12+E12+F12)*J12/I12,0)</f>
        <v>25000000</v>
      </c>
      <c r="L12">
        <v>0</v>
      </c>
      <c r="M12">
        <v>0</v>
      </c>
      <c r="N12" s="1">
        <f>ROUND((D12+E12)/I12/8*M12*L12,0)</f>
        <v>0</v>
      </c>
      <c r="O12" s="1">
        <f>0</f>
        <v>0</v>
      </c>
      <c r="P12" s="1">
        <v>0</v>
      </c>
      <c r="Q12" s="1">
        <f>K12+N12+O12+P12+AI12</f>
        <v>25000000</v>
      </c>
      <c r="R12" s="1">
        <f>ROUND((D12+E12)/I12/8*M12*MIN(L12,40),0)+O12+AI12</f>
        <v>0</v>
      </c>
      <c r="S12" s="1">
        <v>25000000</v>
      </c>
      <c r="T12" s="1">
        <v>2000000</v>
      </c>
      <c r="U12" s="1">
        <v>375000</v>
      </c>
      <c r="V12" s="1">
        <v>250000</v>
      </c>
      <c r="W12" s="1">
        <v>15500000</v>
      </c>
      <c r="X12" s="1">
        <v>6200000</v>
      </c>
      <c r="Y12" s="1">
        <v>675000</v>
      </c>
      <c r="Z12" s="1">
        <v>33750</v>
      </c>
      <c r="AA12" s="1">
        <f>Q12-T12-U12-V12-Z12</f>
        <v>22341250</v>
      </c>
      <c r="AB12" s="1">
        <v>4375000</v>
      </c>
      <c r="AC12" s="1">
        <v>750000</v>
      </c>
      <c r="AD12" s="1">
        <v>250000</v>
      </c>
      <c r="AE12" s="1">
        <v>500000</v>
      </c>
      <c r="AF12" s="1">
        <f>Q12+AB12+AC12+AD12+AE12</f>
        <v>30875000</v>
      </c>
      <c r="AG12" s="2" t="s">
        <v>62</v>
      </c>
      <c r="AH12" t="s">
        <v>40</v>
      </c>
      <c r="AI12" s="1">
        <v>0</v>
      </c>
    </row>
    <row r="13" spans="1:35" x14ac:dyDescent="0.25">
      <c r="A13" t="s">
        <v>63</v>
      </c>
      <c r="B13" t="s">
        <v>64</v>
      </c>
      <c r="C13" t="s">
        <v>37</v>
      </c>
      <c r="D13" s="1">
        <v>20000000</v>
      </c>
      <c r="E13" s="1">
        <v>0</v>
      </c>
      <c r="F13" s="1">
        <v>0</v>
      </c>
      <c r="G13" s="2" t="s">
        <v>65</v>
      </c>
      <c r="H13">
        <v>0</v>
      </c>
      <c r="I13">
        <v>22</v>
      </c>
      <c r="J13">
        <v>11</v>
      </c>
      <c r="K13" s="1">
        <f>ROUND((D13+E13+F13)*J13/I13,0)</f>
        <v>10000000</v>
      </c>
      <c r="L13">
        <v>0</v>
      </c>
      <c r="M13">
        <v>0</v>
      </c>
      <c r="N13" s="1">
        <f>ROUND((D13+E13)/I13/8*M13*L13,0)</f>
        <v>0</v>
      </c>
      <c r="O13" s="1">
        <f>0</f>
        <v>0</v>
      </c>
      <c r="P13" s="1">
        <v>0</v>
      </c>
      <c r="Q13" s="1">
        <f>K13+N13+O13+P13+AI13</f>
        <v>10000000</v>
      </c>
      <c r="R13" s="1">
        <f>ROUND((D13+E13)/I13/8*M13*MIN(L13,40),0)+O13+AI13</f>
        <v>0</v>
      </c>
      <c r="S13" s="1">
        <v>20000000</v>
      </c>
      <c r="T13" s="1">
        <v>1600000</v>
      </c>
      <c r="U13" s="1">
        <v>300000</v>
      </c>
      <c r="V13" s="1">
        <v>200000</v>
      </c>
      <c r="W13" s="1">
        <v>15500000</v>
      </c>
      <c r="X13" s="1">
        <v>0</v>
      </c>
      <c r="Y13" s="1">
        <v>0</v>
      </c>
      <c r="Z13" s="1">
        <v>0</v>
      </c>
      <c r="AA13" s="1">
        <f>Q13-T13-U13-V13-Z13</f>
        <v>7900000</v>
      </c>
      <c r="AB13" s="1">
        <v>3500000</v>
      </c>
      <c r="AC13" s="1">
        <v>600000</v>
      </c>
      <c r="AD13" s="1">
        <v>200000</v>
      </c>
      <c r="AE13" s="1">
        <v>400000</v>
      </c>
      <c r="AF13" s="1">
        <f>Q13+AB13+AC13+AD13+AE13</f>
        <v>14700000</v>
      </c>
      <c r="AG13" s="2" t="s">
        <v>66</v>
      </c>
      <c r="AH13" t="s">
        <v>67</v>
      </c>
      <c r="AI13" s="1">
        <v>0</v>
      </c>
    </row>
    <row r="14" spans="1:35" x14ac:dyDescent="0.25">
      <c r="A14" t="s">
        <v>68</v>
      </c>
      <c r="B14" t="s">
        <v>69</v>
      </c>
      <c r="C14" t="s">
        <v>37</v>
      </c>
      <c r="D14" s="1">
        <v>20000000</v>
      </c>
      <c r="E14" s="1">
        <v>0</v>
      </c>
      <c r="F14" s="1">
        <v>0</v>
      </c>
      <c r="G14" s="2" t="s">
        <v>70</v>
      </c>
      <c r="H14">
        <v>0</v>
      </c>
      <c r="I14">
        <v>22</v>
      </c>
      <c r="J14">
        <v>7</v>
      </c>
      <c r="K14" s="1">
        <f>ROUND((D14+E14+F14)*J14/I14,0)</f>
        <v>6363636</v>
      </c>
      <c r="L14">
        <v>0</v>
      </c>
      <c r="M14">
        <v>0</v>
      </c>
      <c r="N14" s="1">
        <f>ROUND((D14+E14)/I14/8*M14*L14,0)</f>
        <v>0</v>
      </c>
      <c r="O14" s="1">
        <f>0</f>
        <v>0</v>
      </c>
      <c r="P14" s="1">
        <v>0</v>
      </c>
      <c r="Q14" s="1">
        <f>K14+N14+O14+P14+AI14</f>
        <v>6363636</v>
      </c>
      <c r="R14" s="1">
        <f>ROUND((D14+E14)/I14/8*M14*MIN(L14,40),0)+O14+AI14</f>
        <v>0</v>
      </c>
      <c r="S14" s="1">
        <v>0</v>
      </c>
      <c r="T14" s="1">
        <v>0</v>
      </c>
      <c r="U14" s="1">
        <v>0</v>
      </c>
      <c r="V14" s="1">
        <v>0</v>
      </c>
      <c r="W14" s="1">
        <v>15500000</v>
      </c>
      <c r="X14" s="1">
        <v>0</v>
      </c>
      <c r="Y14" s="1">
        <v>0</v>
      </c>
      <c r="Z14" s="1">
        <v>0</v>
      </c>
      <c r="AA14" s="1">
        <f>Q14-T14-U14-V14-Z14</f>
        <v>6363636</v>
      </c>
      <c r="AB14" s="1">
        <v>0</v>
      </c>
      <c r="AC14" s="1">
        <v>0</v>
      </c>
      <c r="AD14" s="1">
        <v>0</v>
      </c>
      <c r="AE14" s="1">
        <v>0</v>
      </c>
      <c r="AF14" s="1">
        <f>Q14+AB14+AC14+AD14+AE14</f>
        <v>6363636</v>
      </c>
      <c r="AG14" s="2" t="s">
        <v>71</v>
      </c>
      <c r="AH14" t="s">
        <v>67</v>
      </c>
      <c r="AI14" s="1">
        <v>0</v>
      </c>
    </row>
    <row r="15" spans="1:35" x14ac:dyDescent="0.25">
      <c r="A15" t="s">
        <v>72</v>
      </c>
      <c r="B15" t="s">
        <v>73</v>
      </c>
      <c r="C15" t="s">
        <v>37</v>
      </c>
      <c r="D15" s="1">
        <v>18000000</v>
      </c>
      <c r="E15" s="1">
        <v>0</v>
      </c>
      <c r="F15" s="1">
        <v>0</v>
      </c>
      <c r="G15" s="2" t="s">
        <v>74</v>
      </c>
      <c r="H15">
        <v>0</v>
      </c>
      <c r="I15">
        <v>22</v>
      </c>
      <c r="J15">
        <v>8</v>
      </c>
      <c r="K15" s="1">
        <f>ROUND((D15+E15+F15)*J15/I15,0)</f>
        <v>6545455</v>
      </c>
      <c r="L15">
        <v>0</v>
      </c>
      <c r="M15">
        <v>0</v>
      </c>
      <c r="N15" s="1">
        <f>ROUND((D15+E15)/I15/8*M15*L15,0)</f>
        <v>0</v>
      </c>
      <c r="O15" s="1">
        <f>ROUND(D15/22*4,0)</f>
        <v>3272727</v>
      </c>
      <c r="P15" s="1">
        <v>0</v>
      </c>
      <c r="Q15" s="1">
        <f>K15+N15+O15+P15+AI15</f>
        <v>9818182</v>
      </c>
      <c r="R15" s="1">
        <f>ROUND((D15+E15)/I15/8*M15*MIN(L15,40),0)+O15+AI15</f>
        <v>3272727</v>
      </c>
      <c r="S15" s="1">
        <v>0</v>
      </c>
      <c r="T15" s="1">
        <v>0</v>
      </c>
      <c r="U15" s="1">
        <v>0</v>
      </c>
      <c r="V15" s="1">
        <v>0</v>
      </c>
      <c r="W15" s="1">
        <v>15500000</v>
      </c>
      <c r="X15" s="1">
        <v>0</v>
      </c>
      <c r="Y15" s="1">
        <v>0</v>
      </c>
      <c r="Z15" s="1">
        <v>0</v>
      </c>
      <c r="AA15" s="1">
        <f>Q15-T15-U15-V15-Z15</f>
        <v>9818182</v>
      </c>
      <c r="AB15" s="1">
        <v>0</v>
      </c>
      <c r="AC15" s="1">
        <v>0</v>
      </c>
      <c r="AD15" s="1">
        <v>0</v>
      </c>
      <c r="AE15" s="1">
        <v>0</v>
      </c>
      <c r="AF15" s="1">
        <f>Q15+AB15+AC15+AD15+AE15</f>
        <v>9818182</v>
      </c>
      <c r="AG15" s="2" t="s">
        <v>75</v>
      </c>
      <c r="AH15" t="s">
        <v>67</v>
      </c>
      <c r="AI15" s="1">
        <v>0</v>
      </c>
    </row>
    <row r="16" spans="1:35" x14ac:dyDescent="0.25">
      <c r="A16" t="s">
        <v>76</v>
      </c>
      <c r="B16" t="s">
        <v>77</v>
      </c>
      <c r="C16" t="s">
        <v>37</v>
      </c>
      <c r="D16" s="1">
        <v>25000000</v>
      </c>
      <c r="E16" s="1">
        <v>0</v>
      </c>
      <c r="F16" s="1">
        <v>0</v>
      </c>
      <c r="G16" s="2" t="s">
        <v>78</v>
      </c>
      <c r="H16">
        <v>0</v>
      </c>
      <c r="I16">
        <v>22</v>
      </c>
      <c r="J16">
        <v>22</v>
      </c>
      <c r="K16" s="1">
        <f>ROUND(20000000*11/I16,0)+ROUND(25000000*11/I16,0)</f>
        <v>22500000</v>
      </c>
      <c r="L16">
        <v>0</v>
      </c>
      <c r="M16">
        <v>0</v>
      </c>
      <c r="N16" s="1">
        <f>ROUND((D16+E16)/I16/8*M16*L16,0)</f>
        <v>0</v>
      </c>
      <c r="O16" s="1">
        <f>0</f>
        <v>0</v>
      </c>
      <c r="P16" s="1">
        <v>0</v>
      </c>
      <c r="Q16" s="1">
        <f>K16+N16+O16+P16+AI16</f>
        <v>22500000</v>
      </c>
      <c r="R16" s="1">
        <f>ROUND((D16+E16)/I16/8*M16*MIN(L16,40),0)+O16+AI16</f>
        <v>0</v>
      </c>
      <c r="S16" s="1">
        <v>25000000</v>
      </c>
      <c r="T16" s="1">
        <v>2000000</v>
      </c>
      <c r="U16" s="1">
        <v>375000</v>
      </c>
      <c r="V16" s="1">
        <v>250000</v>
      </c>
      <c r="W16" s="1">
        <v>15500000</v>
      </c>
      <c r="X16" s="1">
        <v>0</v>
      </c>
      <c r="Y16" s="1">
        <v>4375000</v>
      </c>
      <c r="Z16" s="1">
        <v>218750</v>
      </c>
      <c r="AA16" s="1">
        <f>Q16-T16-U16-V16-Z16</f>
        <v>19656250</v>
      </c>
      <c r="AB16" s="1">
        <v>4375000</v>
      </c>
      <c r="AC16" s="1">
        <v>750000</v>
      </c>
      <c r="AD16" s="1">
        <v>250000</v>
      </c>
      <c r="AE16" s="1">
        <v>500000</v>
      </c>
      <c r="AF16" s="1">
        <f>Q16+AB16+AC16+AD16+AE16</f>
        <v>28375000</v>
      </c>
      <c r="AG16" s="2" t="s">
        <v>79</v>
      </c>
      <c r="AH16" t="s">
        <v>67</v>
      </c>
      <c r="AI16" s="1">
        <v>0</v>
      </c>
    </row>
    <row r="17" spans="1:35" x14ac:dyDescent="0.25">
      <c r="A17" t="s">
        <v>80</v>
      </c>
      <c r="B17" t="s">
        <v>81</v>
      </c>
      <c r="C17" t="s">
        <v>37</v>
      </c>
      <c r="D17" s="1">
        <v>25000000</v>
      </c>
      <c r="E17" s="1">
        <v>0</v>
      </c>
      <c r="F17" s="1">
        <v>0</v>
      </c>
      <c r="G17" s="2" t="s">
        <v>82</v>
      </c>
      <c r="H17">
        <v>0</v>
      </c>
      <c r="I17">
        <v>22</v>
      </c>
      <c r="J17">
        <v>19</v>
      </c>
      <c r="K17" s="1">
        <f>ROUND((D17+E17+F17)*J17/I17,0)</f>
        <v>21590909</v>
      </c>
      <c r="L17">
        <v>0</v>
      </c>
      <c r="M17">
        <v>0</v>
      </c>
      <c r="N17" s="1">
        <f>ROUND((D17+E17)/I17/8*M17*L17,0)</f>
        <v>0</v>
      </c>
      <c r="O17" s="1">
        <f>0</f>
        <v>0</v>
      </c>
      <c r="P17" s="1">
        <v>0</v>
      </c>
      <c r="Q17" s="1">
        <f>K17+N17+O17+P17+AI17</f>
        <v>21590909</v>
      </c>
      <c r="R17" s="1">
        <f>ROUND((D17+E17)/I17/8*M17*MIN(L17,40),0)+O17+AI17</f>
        <v>0</v>
      </c>
      <c r="S17" s="1">
        <v>25000000</v>
      </c>
      <c r="T17" s="1">
        <v>2000000</v>
      </c>
      <c r="U17" s="1">
        <v>375000</v>
      </c>
      <c r="V17" s="1">
        <v>250000</v>
      </c>
      <c r="W17" s="1">
        <v>15500000</v>
      </c>
      <c r="X17" s="1">
        <v>0</v>
      </c>
      <c r="Y17" s="1">
        <v>3465909</v>
      </c>
      <c r="Z17" s="1">
        <v>173295</v>
      </c>
      <c r="AA17" s="1">
        <f>Q17-T17-U17-V17-Z17</f>
        <v>18792614</v>
      </c>
      <c r="AB17" s="1">
        <v>4375000</v>
      </c>
      <c r="AC17" s="1">
        <v>750000</v>
      </c>
      <c r="AD17" s="1">
        <v>250000</v>
      </c>
      <c r="AE17" s="1">
        <v>500000</v>
      </c>
      <c r="AF17" s="1">
        <f>Q17+AB17+AC17+AD17+AE17</f>
        <v>27465909</v>
      </c>
      <c r="AG17" s="2" t="s">
        <v>83</v>
      </c>
      <c r="AH17" t="s">
        <v>67</v>
      </c>
      <c r="AI17" s="1">
        <v>0</v>
      </c>
    </row>
    <row r="18" spans="1:35" x14ac:dyDescent="0.25">
      <c r="A18" t="s">
        <v>84</v>
      </c>
      <c r="B18" t="s">
        <v>85</v>
      </c>
      <c r="C18" t="s">
        <v>37</v>
      </c>
      <c r="D18" s="1">
        <v>25000000</v>
      </c>
      <c r="E18" s="1">
        <v>0</v>
      </c>
      <c r="F18" s="1">
        <v>0</v>
      </c>
      <c r="G18" s="2" t="s">
        <v>86</v>
      </c>
      <c r="H18">
        <v>0</v>
      </c>
      <c r="I18">
        <v>22</v>
      </c>
      <c r="J18">
        <v>17</v>
      </c>
      <c r="K18" s="1">
        <f>ROUND((D18+E18+F18)*J18/I18,0)</f>
        <v>19318182</v>
      </c>
      <c r="L18">
        <v>0</v>
      </c>
      <c r="M18">
        <v>0</v>
      </c>
      <c r="N18" s="1">
        <f>ROUND((D18+E18)/I18/8*M18*L18,0)</f>
        <v>0</v>
      </c>
      <c r="O18" s="1">
        <f>0</f>
        <v>0</v>
      </c>
      <c r="P18" s="1">
        <v>0</v>
      </c>
      <c r="Q18" s="1">
        <f>K18+N18+O18+P18+AI18</f>
        <v>19318182</v>
      </c>
      <c r="R18" s="1">
        <f>ROUND((D18+E18)/I18/8*M18*MIN(L18,40),0)+O18+AI18</f>
        <v>0</v>
      </c>
      <c r="S18" s="1">
        <v>25000000</v>
      </c>
      <c r="T18" s="1">
        <v>2000000</v>
      </c>
      <c r="U18" s="1">
        <v>375000</v>
      </c>
      <c r="V18" s="1">
        <v>250000</v>
      </c>
      <c r="W18" s="1">
        <v>15500000</v>
      </c>
      <c r="X18" s="1">
        <v>0</v>
      </c>
      <c r="Y18" s="1">
        <v>1193182</v>
      </c>
      <c r="Z18" s="1">
        <v>59659</v>
      </c>
      <c r="AA18" s="1">
        <f>Q18-T18-U18-V18-Z18</f>
        <v>16633523</v>
      </c>
      <c r="AB18" s="1">
        <v>4375000</v>
      </c>
      <c r="AC18" s="1">
        <v>750000</v>
      </c>
      <c r="AD18" s="1">
        <v>250000</v>
      </c>
      <c r="AE18" s="1">
        <v>500000</v>
      </c>
      <c r="AF18" s="1">
        <f>Q18+AB18+AC18+AD18+AE18</f>
        <v>25193182</v>
      </c>
      <c r="AG18" s="2" t="s">
        <v>87</v>
      </c>
      <c r="AH18" t="s">
        <v>67</v>
      </c>
      <c r="AI18" s="1">
        <v>0</v>
      </c>
    </row>
    <row r="19" spans="1:35" x14ac:dyDescent="0.25">
      <c r="A19" t="s">
        <v>88</v>
      </c>
      <c r="B19" t="s">
        <v>89</v>
      </c>
      <c r="C19" t="s">
        <v>37</v>
      </c>
      <c r="D19" s="1">
        <v>25000000</v>
      </c>
      <c r="E19" s="1">
        <v>0</v>
      </c>
      <c r="F19" s="1">
        <v>0</v>
      </c>
      <c r="G19" s="2" t="s">
        <v>90</v>
      </c>
      <c r="H19">
        <v>0</v>
      </c>
      <c r="I19">
        <v>22</v>
      </c>
      <c r="J19">
        <v>22</v>
      </c>
      <c r="K19" s="1">
        <f>ROUND((D19+E19+F19)*J19/I19,0)</f>
        <v>25000000</v>
      </c>
      <c r="L19">
        <v>0</v>
      </c>
      <c r="M19">
        <v>0</v>
      </c>
      <c r="N19" s="1">
        <f>ROUND((D19+E19)/I19/8*M19*L19,0)</f>
        <v>0</v>
      </c>
      <c r="O19" s="1">
        <f>0</f>
        <v>0</v>
      </c>
      <c r="P19" s="1">
        <v>0</v>
      </c>
      <c r="Q19" s="1">
        <f>K19+N19+O19+P19+AI19</f>
        <v>25000000</v>
      </c>
      <c r="R19" s="1">
        <f>ROUND((D19+E19)/I19/8*M19*MIN(L19,40),0)+O19+AI19</f>
        <v>0</v>
      </c>
      <c r="S19" s="1">
        <v>25000000</v>
      </c>
      <c r="T19" s="1">
        <v>2000000</v>
      </c>
      <c r="U19" s="1">
        <v>375000</v>
      </c>
      <c r="V19" s="1">
        <v>250000</v>
      </c>
      <c r="W19" s="1">
        <v>15500000</v>
      </c>
      <c r="X19" s="1">
        <v>0</v>
      </c>
      <c r="Y19" s="1">
        <v>6875000</v>
      </c>
      <c r="Z19" s="1">
        <v>343750</v>
      </c>
      <c r="AA19" s="1">
        <f>Q19-T19-U19-V19-Z19</f>
        <v>22031250</v>
      </c>
      <c r="AB19" s="1">
        <v>4375000</v>
      </c>
      <c r="AC19" s="1">
        <v>750000</v>
      </c>
      <c r="AD19" s="1">
        <v>250000</v>
      </c>
      <c r="AE19" s="1">
        <v>500000</v>
      </c>
      <c r="AF19" s="1">
        <f>Q19+AB19+AC19+AD19+AE19</f>
        <v>30875000</v>
      </c>
      <c r="AG19" s="2" t="s">
        <v>91</v>
      </c>
      <c r="AH19" t="s">
        <v>40</v>
      </c>
      <c r="AI19" s="1">
        <v>0</v>
      </c>
    </row>
    <row r="20" spans="1:35" x14ac:dyDescent="0.25">
      <c r="A20" t="s">
        <v>92</v>
      </c>
      <c r="B20" t="s">
        <v>93</v>
      </c>
      <c r="C20" t="s">
        <v>37</v>
      </c>
      <c r="D20" s="1">
        <v>20000000</v>
      </c>
      <c r="E20" s="1">
        <v>0</v>
      </c>
      <c r="F20" s="1">
        <v>0</v>
      </c>
      <c r="G20" s="2" t="s">
        <v>94</v>
      </c>
      <c r="H20">
        <v>0</v>
      </c>
      <c r="I20">
        <v>22</v>
      </c>
      <c r="J20">
        <v>22</v>
      </c>
      <c r="K20" s="1">
        <f>ROUND((D20+E20+F20)*J20/I20,0)</f>
        <v>20000000</v>
      </c>
      <c r="L20">
        <v>10</v>
      </c>
      <c r="M20">
        <v>1.5</v>
      </c>
      <c r="N20" s="1">
        <f>ROUND((D20+E20)/I20/8*M20*L20,0)</f>
        <v>1704545</v>
      </c>
      <c r="O20" s="1">
        <f>0</f>
        <v>0</v>
      </c>
      <c r="P20" s="1">
        <v>0</v>
      </c>
      <c r="Q20" s="1">
        <f>K20+N20+O20+P20+AI20</f>
        <v>21704545</v>
      </c>
      <c r="R20" s="1">
        <f>ROUND((D20+E20)/I20/8*M20*MIN(L20,40),0)+O20+AI20</f>
        <v>1704545</v>
      </c>
      <c r="S20" s="1">
        <v>20000000</v>
      </c>
      <c r="T20" s="1">
        <v>1600000</v>
      </c>
      <c r="U20" s="1">
        <v>300000</v>
      </c>
      <c r="V20" s="1">
        <v>200000</v>
      </c>
      <c r="W20" s="1">
        <v>15500000</v>
      </c>
      <c r="X20" s="1">
        <v>0</v>
      </c>
      <c r="Y20" s="1">
        <v>2400000</v>
      </c>
      <c r="Z20" s="1">
        <v>120000</v>
      </c>
      <c r="AA20" s="1">
        <f>Q20-T20-U20-V20-Z20</f>
        <v>19484545</v>
      </c>
      <c r="AB20" s="1">
        <v>3500000</v>
      </c>
      <c r="AC20" s="1">
        <v>600000</v>
      </c>
      <c r="AD20" s="1">
        <v>200000</v>
      </c>
      <c r="AE20" s="1">
        <v>400000</v>
      </c>
      <c r="AF20" s="1">
        <f>Q20+AB20+AC20+AD20+AE20</f>
        <v>26404545</v>
      </c>
      <c r="AG20" s="2" t="s">
        <v>95</v>
      </c>
      <c r="AH20" t="s">
        <v>96</v>
      </c>
      <c r="AI20" s="1">
        <v>0</v>
      </c>
    </row>
    <row r="21" spans="1:35" x14ac:dyDescent="0.25">
      <c r="A21" t="s">
        <v>97</v>
      </c>
      <c r="B21" t="s">
        <v>98</v>
      </c>
      <c r="C21" t="s">
        <v>37</v>
      </c>
      <c r="D21" s="1">
        <v>20000000</v>
      </c>
      <c r="E21" s="1">
        <v>0</v>
      </c>
      <c r="F21" s="1">
        <v>0</v>
      </c>
      <c r="G21" s="2" t="s">
        <v>99</v>
      </c>
      <c r="H21">
        <v>0</v>
      </c>
      <c r="I21">
        <v>22</v>
      </c>
      <c r="J21">
        <v>22</v>
      </c>
      <c r="K21" s="1">
        <f>ROUND((D21+E21+F21)*J21/I21,0)</f>
        <v>20000000</v>
      </c>
      <c r="L21">
        <v>8</v>
      </c>
      <c r="M21">
        <v>2</v>
      </c>
      <c r="N21" s="1">
        <f>ROUND((D21+E21)/I21/8*M21*L21,0)</f>
        <v>1818182</v>
      </c>
      <c r="O21" s="1">
        <f>0</f>
        <v>0</v>
      </c>
      <c r="P21" s="1">
        <v>0</v>
      </c>
      <c r="Q21" s="1">
        <f>K21+N21+O21+P21+AI21</f>
        <v>21818182</v>
      </c>
      <c r="R21" s="1">
        <f>ROUND((D21+E21)/I21/8*M21*MIN(L21,40),0)+O21+AI21</f>
        <v>1818182</v>
      </c>
      <c r="S21" s="1">
        <v>20000000</v>
      </c>
      <c r="T21" s="1">
        <v>1600000</v>
      </c>
      <c r="U21" s="1">
        <v>300000</v>
      </c>
      <c r="V21" s="1">
        <v>200000</v>
      </c>
      <c r="W21" s="1">
        <v>15500000</v>
      </c>
      <c r="X21" s="1">
        <v>0</v>
      </c>
      <c r="Y21" s="1">
        <v>2400000</v>
      </c>
      <c r="Z21" s="1">
        <v>120000</v>
      </c>
      <c r="AA21" s="1">
        <f>Q21-T21-U21-V21-Z21</f>
        <v>19598182</v>
      </c>
      <c r="AB21" s="1">
        <v>3500000</v>
      </c>
      <c r="AC21" s="1">
        <v>600000</v>
      </c>
      <c r="AD21" s="1">
        <v>200000</v>
      </c>
      <c r="AE21" s="1">
        <v>400000</v>
      </c>
      <c r="AF21" s="1">
        <f>Q21+AB21+AC21+AD21+AE21</f>
        <v>26518182</v>
      </c>
      <c r="AG21" s="2" t="s">
        <v>39</v>
      </c>
      <c r="AH21" t="s">
        <v>96</v>
      </c>
      <c r="AI21" s="1">
        <v>0</v>
      </c>
    </row>
    <row r="22" spans="1:35" x14ac:dyDescent="0.25">
      <c r="A22" t="s">
        <v>100</v>
      </c>
      <c r="B22" t="s">
        <v>101</v>
      </c>
      <c r="C22" t="s">
        <v>37</v>
      </c>
      <c r="D22" s="1">
        <v>20000000</v>
      </c>
      <c r="E22" s="1">
        <v>0</v>
      </c>
      <c r="F22" s="1">
        <v>0</v>
      </c>
      <c r="G22" s="2" t="s">
        <v>102</v>
      </c>
      <c r="H22">
        <v>0</v>
      </c>
      <c r="I22">
        <v>22</v>
      </c>
      <c r="J22">
        <v>22</v>
      </c>
      <c r="K22" s="1">
        <f>ROUND((D22+E22+F22)*J22/I22,0)</f>
        <v>20000000</v>
      </c>
      <c r="L22">
        <v>8</v>
      </c>
      <c r="M22">
        <v>3</v>
      </c>
      <c r="N22" s="1">
        <f>ROUND((D22+E22)/I22/8*M22*L22,0)</f>
        <v>2727273</v>
      </c>
      <c r="O22" s="1">
        <f>0</f>
        <v>0</v>
      </c>
      <c r="P22" s="1">
        <v>0</v>
      </c>
      <c r="Q22" s="1">
        <f>K22+N22+O22+P22+AI22</f>
        <v>22727273</v>
      </c>
      <c r="R22" s="1">
        <f>ROUND((D22+E22)/I22/8*M22*MIN(L22,40),0)+O22+AI22</f>
        <v>2727273</v>
      </c>
      <c r="S22" s="1">
        <v>20000000</v>
      </c>
      <c r="T22" s="1">
        <v>1600000</v>
      </c>
      <c r="U22" s="1">
        <v>300000</v>
      </c>
      <c r="V22" s="1">
        <v>200000</v>
      </c>
      <c r="W22" s="1">
        <v>15500000</v>
      </c>
      <c r="X22" s="1">
        <v>0</v>
      </c>
      <c r="Y22" s="1">
        <v>2400000</v>
      </c>
      <c r="Z22" s="1">
        <v>120000</v>
      </c>
      <c r="AA22" s="1">
        <f>Q22-T22-U22-V22-Z22</f>
        <v>20507273</v>
      </c>
      <c r="AB22" s="1">
        <v>3500000</v>
      </c>
      <c r="AC22" s="1">
        <v>600000</v>
      </c>
      <c r="AD22" s="1">
        <v>200000</v>
      </c>
      <c r="AE22" s="1">
        <v>400000</v>
      </c>
      <c r="AF22" s="1">
        <f>Q22+AB22+AC22+AD22+AE22</f>
        <v>27427273</v>
      </c>
      <c r="AG22" s="2" t="s">
        <v>103</v>
      </c>
      <c r="AH22" t="s">
        <v>96</v>
      </c>
      <c r="AI22" s="1">
        <v>0</v>
      </c>
    </row>
    <row r="23" spans="1:35" x14ac:dyDescent="0.25">
      <c r="A23" t="s">
        <v>104</v>
      </c>
      <c r="B23" t="s">
        <v>105</v>
      </c>
      <c r="C23" t="s">
        <v>37</v>
      </c>
      <c r="D23" s="1">
        <v>20000000</v>
      </c>
      <c r="E23" s="1">
        <v>0</v>
      </c>
      <c r="F23" s="1">
        <v>0</v>
      </c>
      <c r="G23" s="2" t="s">
        <v>106</v>
      </c>
      <c r="H23">
        <v>0</v>
      </c>
      <c r="I23">
        <v>22</v>
      </c>
      <c r="J23">
        <v>22</v>
      </c>
      <c r="K23" s="1">
        <f>ROUND((D23+E23+F23)*J23/I23,0)</f>
        <v>20000000</v>
      </c>
      <c r="L23">
        <v>4</v>
      </c>
      <c r="M23">
        <v>2</v>
      </c>
      <c r="N23" s="1">
        <f>ROUND((D23+E23)/I23/8*M23*L23,0)</f>
        <v>909091</v>
      </c>
      <c r="O23" s="1">
        <f>0</f>
        <v>0</v>
      </c>
      <c r="P23" s="1">
        <v>0</v>
      </c>
      <c r="Q23" s="1">
        <f>K23+N23+O23+P23+AI23</f>
        <v>20909091</v>
      </c>
      <c r="R23" s="1">
        <f>ROUND((D23+E23)/I23/8*M23*MIN(L23,40),0)+O23+AI23</f>
        <v>909091</v>
      </c>
      <c r="S23" s="1">
        <v>20000000</v>
      </c>
      <c r="T23" s="1">
        <v>1600000</v>
      </c>
      <c r="U23" s="1">
        <v>300000</v>
      </c>
      <c r="V23" s="1">
        <v>200000</v>
      </c>
      <c r="W23" s="1">
        <v>15500000</v>
      </c>
      <c r="X23" s="1">
        <v>0</v>
      </c>
      <c r="Y23" s="1">
        <v>2400000</v>
      </c>
      <c r="Z23" s="1">
        <v>120000</v>
      </c>
      <c r="AA23" s="1">
        <f>Q23-T23-U23-V23-Z23</f>
        <v>18689091</v>
      </c>
      <c r="AB23" s="1">
        <v>3500000</v>
      </c>
      <c r="AC23" s="1">
        <v>600000</v>
      </c>
      <c r="AD23" s="1">
        <v>200000</v>
      </c>
      <c r="AE23" s="1">
        <v>400000</v>
      </c>
      <c r="AF23" s="1">
        <f>Q23+AB23+AC23+AD23+AE23</f>
        <v>25609091</v>
      </c>
      <c r="AG23" s="2" t="s">
        <v>107</v>
      </c>
      <c r="AH23" t="s">
        <v>96</v>
      </c>
      <c r="AI23" s="1">
        <v>0</v>
      </c>
    </row>
    <row r="24" spans="1:35" x14ac:dyDescent="0.25">
      <c r="A24" t="s">
        <v>108</v>
      </c>
      <c r="B24" t="s">
        <v>109</v>
      </c>
      <c r="C24" t="s">
        <v>37</v>
      </c>
      <c r="D24" s="1">
        <v>60000000</v>
      </c>
      <c r="E24" s="1">
        <v>0</v>
      </c>
      <c r="F24" s="1">
        <v>0</v>
      </c>
      <c r="G24" s="2" t="s">
        <v>110</v>
      </c>
      <c r="H24">
        <v>2</v>
      </c>
      <c r="I24">
        <v>22</v>
      </c>
      <c r="J24">
        <v>22</v>
      </c>
      <c r="K24" s="1">
        <f>ROUND((D24+E24+F24)*J24/I24,0)</f>
        <v>60000000</v>
      </c>
      <c r="L24">
        <v>12</v>
      </c>
      <c r="M24">
        <v>1.5</v>
      </c>
      <c r="N24" s="1">
        <f>ROUND((D24+E24)/I24/8*M24*L24,0)</f>
        <v>6136364</v>
      </c>
      <c r="O24" s="1">
        <f>0</f>
        <v>0</v>
      </c>
      <c r="P24" s="1">
        <v>0</v>
      </c>
      <c r="Q24" s="1">
        <f>K24+N24+O24+P24+AI24</f>
        <v>66136364</v>
      </c>
      <c r="R24" s="1">
        <f>ROUND((D24+E24)/I24/8*M24*MIN(L24,40),0)+O24+AI24</f>
        <v>6136364</v>
      </c>
      <c r="S24" s="1">
        <v>60000000</v>
      </c>
      <c r="T24" s="1">
        <v>3744000</v>
      </c>
      <c r="U24" s="1">
        <v>702000</v>
      </c>
      <c r="V24" s="1">
        <v>600000</v>
      </c>
      <c r="W24" s="1">
        <v>15500000</v>
      </c>
      <c r="X24" s="1">
        <v>12400000</v>
      </c>
      <c r="Y24" s="1">
        <v>27054000</v>
      </c>
      <c r="Z24" s="1">
        <v>2205400</v>
      </c>
      <c r="AA24" s="1">
        <f>Q24-T24-U24-V24-Z24</f>
        <v>58884964</v>
      </c>
      <c r="AB24" s="1">
        <v>8190000</v>
      </c>
      <c r="AC24" s="1">
        <v>1404000</v>
      </c>
      <c r="AD24" s="1">
        <v>600000</v>
      </c>
      <c r="AE24" s="1">
        <v>936000</v>
      </c>
      <c r="AF24" s="1">
        <f>Q24+AB24+AC24+AD24+AE24</f>
        <v>77266364</v>
      </c>
      <c r="AG24" s="2" t="s">
        <v>39</v>
      </c>
      <c r="AH24" t="s">
        <v>96</v>
      </c>
      <c r="AI24" s="1">
        <v>0</v>
      </c>
    </row>
    <row r="25" spans="1:35" x14ac:dyDescent="0.25">
      <c r="A25" t="s">
        <v>111</v>
      </c>
      <c r="B25" t="s">
        <v>112</v>
      </c>
      <c r="C25" t="s">
        <v>37</v>
      </c>
      <c r="D25" s="1">
        <v>30000000</v>
      </c>
      <c r="E25" s="1">
        <v>0</v>
      </c>
      <c r="F25" s="1">
        <v>0</v>
      </c>
      <c r="G25" s="2" t="s">
        <v>113</v>
      </c>
      <c r="H25">
        <v>0</v>
      </c>
      <c r="I25">
        <v>22</v>
      </c>
      <c r="J25">
        <v>22</v>
      </c>
      <c r="K25" s="1">
        <f>ROUND((D25+E25+F25)*J25/I25,0)</f>
        <v>30000000</v>
      </c>
      <c r="L25">
        <v>0</v>
      </c>
      <c r="M25">
        <v>0</v>
      </c>
      <c r="N25" s="1">
        <f>ROUND((D25+E25)/I25/8*M25*L25,0)</f>
        <v>0</v>
      </c>
      <c r="O25" s="1">
        <f>0</f>
        <v>0</v>
      </c>
      <c r="P25" s="1">
        <v>2000000</v>
      </c>
      <c r="Q25" s="1">
        <f>K25+N25+O25+P25+AI25</f>
        <v>32000000</v>
      </c>
      <c r="R25" s="1">
        <f>ROUND((D25+E25)/I25/8*M25*MIN(L25,40),0)+O25+AI25</f>
        <v>0</v>
      </c>
      <c r="S25" s="1">
        <v>30000000</v>
      </c>
      <c r="T25" s="1">
        <v>2400000</v>
      </c>
      <c r="U25" s="1">
        <v>450000</v>
      </c>
      <c r="V25" s="1">
        <v>300000</v>
      </c>
      <c r="W25" s="1">
        <v>15500000</v>
      </c>
      <c r="X25" s="1">
        <v>0</v>
      </c>
      <c r="Y25" s="1">
        <v>13350000</v>
      </c>
      <c r="Z25" s="1">
        <v>835000</v>
      </c>
      <c r="AA25" s="1">
        <f>Q25-T25-U25-V25-Z25</f>
        <v>28015000</v>
      </c>
      <c r="AB25" s="1">
        <v>5250000</v>
      </c>
      <c r="AC25" s="1">
        <v>900000</v>
      </c>
      <c r="AD25" s="1">
        <v>300000</v>
      </c>
      <c r="AE25" s="1">
        <v>600000</v>
      </c>
      <c r="AF25" s="1">
        <f>Q25+AB25+AC25+AD25+AE25</f>
        <v>39050000</v>
      </c>
      <c r="AG25" s="2" t="s">
        <v>114</v>
      </c>
      <c r="AH25" t="s">
        <v>40</v>
      </c>
      <c r="AI25" s="1">
        <v>0</v>
      </c>
    </row>
    <row r="26" spans="1:35" x14ac:dyDescent="0.25">
      <c r="A26" t="s">
        <v>115</v>
      </c>
      <c r="B26" t="s">
        <v>116</v>
      </c>
      <c r="C26" t="s">
        <v>37</v>
      </c>
      <c r="D26" s="1">
        <v>30000000</v>
      </c>
      <c r="E26" s="1">
        <v>0</v>
      </c>
      <c r="F26" s="1">
        <v>0</v>
      </c>
      <c r="G26" s="2" t="s">
        <v>117</v>
      </c>
      <c r="H26">
        <v>0</v>
      </c>
      <c r="I26">
        <v>22</v>
      </c>
      <c r="J26">
        <v>22</v>
      </c>
      <c r="K26" s="1">
        <f>ROUND((D26+E26+F26)*J26/I26,0)</f>
        <v>30000000</v>
      </c>
      <c r="L26">
        <v>0</v>
      </c>
      <c r="M26">
        <v>0</v>
      </c>
      <c r="N26" s="1">
        <f>ROUND((D26+E26)/I26/8*M26*L26,0)</f>
        <v>0</v>
      </c>
      <c r="O26" s="1">
        <f>0</f>
        <v>0</v>
      </c>
      <c r="P26" s="1">
        <v>-1500000</v>
      </c>
      <c r="Q26" s="1">
        <f>K26+N26+O26+P26+AI26</f>
        <v>28500000</v>
      </c>
      <c r="R26" s="1">
        <f>ROUND((D26+E26)/I26/8*M26*MIN(L26,40),0)+O26+AI26</f>
        <v>0</v>
      </c>
      <c r="S26" s="1">
        <v>30000000</v>
      </c>
      <c r="T26" s="1">
        <v>2400000</v>
      </c>
      <c r="U26" s="1">
        <v>450000</v>
      </c>
      <c r="V26" s="1">
        <v>300000</v>
      </c>
      <c r="W26" s="1">
        <v>15500000</v>
      </c>
      <c r="X26" s="1">
        <v>0</v>
      </c>
      <c r="Y26" s="1">
        <v>9850000</v>
      </c>
      <c r="Z26" s="1">
        <v>492500</v>
      </c>
      <c r="AA26" s="1">
        <f>Q26-T26-U26-V26-Z26</f>
        <v>24857500</v>
      </c>
      <c r="AB26" s="1">
        <v>5250000</v>
      </c>
      <c r="AC26" s="1">
        <v>900000</v>
      </c>
      <c r="AD26" s="1">
        <v>300000</v>
      </c>
      <c r="AE26" s="1">
        <v>600000</v>
      </c>
      <c r="AF26" s="1">
        <f>Q26+AB26+AC26+AD26+AE26</f>
        <v>35550000</v>
      </c>
      <c r="AG26" s="2" t="s">
        <v>118</v>
      </c>
      <c r="AH26" t="s">
        <v>40</v>
      </c>
      <c r="AI26" s="1">
        <v>0</v>
      </c>
    </row>
    <row r="27" spans="1:35" x14ac:dyDescent="0.25">
      <c r="A27" t="s">
        <v>119</v>
      </c>
      <c r="B27" t="s">
        <v>120</v>
      </c>
      <c r="C27" t="s">
        <v>121</v>
      </c>
      <c r="D27" s="1">
        <v>60000000</v>
      </c>
      <c r="E27" s="1">
        <v>0</v>
      </c>
      <c r="F27" s="1">
        <v>0</v>
      </c>
      <c r="G27" s="2" t="s">
        <v>122</v>
      </c>
      <c r="H27">
        <v>0</v>
      </c>
      <c r="I27">
        <v>23</v>
      </c>
      <c r="J27">
        <v>23</v>
      </c>
      <c r="K27" s="1">
        <f>ROUND((D27+E27+F27)*J27/I27,0)</f>
        <v>60000000</v>
      </c>
      <c r="L27">
        <v>0</v>
      </c>
      <c r="M27">
        <v>0</v>
      </c>
      <c r="N27" s="1">
        <f>ROUND((D27+E27)/I27/8*M27*L27,0)</f>
        <v>0</v>
      </c>
      <c r="O27" s="1">
        <f>0</f>
        <v>0</v>
      </c>
      <c r="P27" s="1">
        <v>0</v>
      </c>
      <c r="Q27" s="1">
        <f>K27+N27+O27+P27+AI27</f>
        <v>60000000</v>
      </c>
      <c r="R27" s="1">
        <f>ROUND((D27+E27)/I27/8*M27*MIN(L27,40),0)+O27+AI27</f>
        <v>0</v>
      </c>
      <c r="S27" s="1">
        <v>60000000</v>
      </c>
      <c r="T27" s="1">
        <v>4048000</v>
      </c>
      <c r="U27" s="1">
        <v>759000</v>
      </c>
      <c r="V27" s="1">
        <v>600000</v>
      </c>
      <c r="W27" s="1">
        <v>15500000</v>
      </c>
      <c r="X27" s="1">
        <v>0</v>
      </c>
      <c r="Y27" s="1">
        <v>39093000</v>
      </c>
      <c r="Z27" s="1">
        <v>4318600</v>
      </c>
      <c r="AA27" s="1">
        <f>Q27-T27-U27-V27-Z27</f>
        <v>50274400</v>
      </c>
      <c r="AB27" s="1">
        <v>8855000</v>
      </c>
      <c r="AC27" s="1">
        <v>1518000</v>
      </c>
      <c r="AD27" s="1">
        <v>600000</v>
      </c>
      <c r="AE27" s="1">
        <v>1012000</v>
      </c>
      <c r="AF27" s="1">
        <f>Q27+AB27+AC27+AD27+AE27</f>
        <v>71985000</v>
      </c>
      <c r="AG27" s="2" t="s">
        <v>39</v>
      </c>
      <c r="AH27" t="s">
        <v>40</v>
      </c>
      <c r="AI27" s="1">
        <v>0</v>
      </c>
    </row>
    <row r="28" spans="1:35" x14ac:dyDescent="0.25">
      <c r="A28" t="s">
        <v>123</v>
      </c>
      <c r="B28" t="s">
        <v>124</v>
      </c>
      <c r="C28" t="s">
        <v>37</v>
      </c>
      <c r="D28" s="1">
        <v>20000000</v>
      </c>
      <c r="E28" s="1">
        <v>3000000</v>
      </c>
      <c r="F28" s="1">
        <v>0</v>
      </c>
      <c r="G28" s="2" t="s">
        <v>125</v>
      </c>
      <c r="H28">
        <v>0</v>
      </c>
      <c r="I28">
        <v>22</v>
      </c>
      <c r="J28">
        <v>22</v>
      </c>
      <c r="K28" s="1">
        <f>ROUND((D28+E28+F28)*J28/I28,0)</f>
        <v>23000000</v>
      </c>
      <c r="L28">
        <v>10</v>
      </c>
      <c r="M28">
        <v>1.5</v>
      </c>
      <c r="N28" s="1">
        <f>ROUND((D28+E28)/I28/8*M28*L28,0)</f>
        <v>1960227</v>
      </c>
      <c r="O28" s="1">
        <f>0</f>
        <v>0</v>
      </c>
      <c r="P28" s="1">
        <v>0</v>
      </c>
      <c r="Q28" s="1">
        <f>K28+N28+O28+P28+AI28</f>
        <v>24960227</v>
      </c>
      <c r="R28" s="1">
        <f>ROUND((D28+E28)/I28/8*M28*MIN(L28,40),0)+O28+AI28</f>
        <v>1960227</v>
      </c>
      <c r="S28" s="1">
        <v>23000000</v>
      </c>
      <c r="T28" s="1">
        <v>1840000</v>
      </c>
      <c r="U28" s="1">
        <v>345000</v>
      </c>
      <c r="V28" s="1">
        <v>230000</v>
      </c>
      <c r="W28" s="1">
        <v>15500000</v>
      </c>
      <c r="X28" s="1">
        <v>0</v>
      </c>
      <c r="Y28" s="1">
        <v>5085000</v>
      </c>
      <c r="Z28" s="1">
        <v>254250</v>
      </c>
      <c r="AA28" s="1">
        <f>Q28-T28-U28-V28-Z28</f>
        <v>22290977</v>
      </c>
      <c r="AB28" s="1">
        <v>4025000</v>
      </c>
      <c r="AC28" s="1">
        <v>690000</v>
      </c>
      <c r="AD28" s="1">
        <v>230000</v>
      </c>
      <c r="AE28" s="1">
        <v>460000</v>
      </c>
      <c r="AF28" s="1">
        <f>Q28+AB28+AC28+AD28+AE28</f>
        <v>30365227</v>
      </c>
      <c r="AG28" s="2" t="s">
        <v>126</v>
      </c>
      <c r="AH28" t="s">
        <v>96</v>
      </c>
      <c r="AI28" s="1">
        <v>0</v>
      </c>
    </row>
    <row r="29" spans="1:35" x14ac:dyDescent="0.25">
      <c r="A29" t="s">
        <v>127</v>
      </c>
      <c r="B29" t="s">
        <v>128</v>
      </c>
      <c r="C29" t="s">
        <v>37</v>
      </c>
      <c r="D29" s="1">
        <v>20000000</v>
      </c>
      <c r="E29" s="1">
        <v>0</v>
      </c>
      <c r="F29" s="1">
        <v>0</v>
      </c>
      <c r="G29" s="2" t="s">
        <v>129</v>
      </c>
      <c r="H29">
        <v>0</v>
      </c>
      <c r="I29">
        <v>22</v>
      </c>
      <c r="J29">
        <v>22</v>
      </c>
      <c r="K29" s="1">
        <f>ROUND((D29+E29+F29)*J29/I29,0)</f>
        <v>20000000</v>
      </c>
      <c r="L29">
        <v>44</v>
      </c>
      <c r="M29">
        <v>1.5</v>
      </c>
      <c r="N29" s="1">
        <f>ROUND((D29+E29)/I29/8*M29*L29,0)</f>
        <v>7500000</v>
      </c>
      <c r="O29" s="1">
        <f>0</f>
        <v>0</v>
      </c>
      <c r="P29" s="1">
        <v>0</v>
      </c>
      <c r="Q29" s="1">
        <f>K29+N29+O29+P29+AI29</f>
        <v>27500000</v>
      </c>
      <c r="R29" s="1">
        <f>ROUND((D29+E29)/I29/8*M29*MIN(L29,40),0)+O29+AI29</f>
        <v>6818182</v>
      </c>
      <c r="S29" s="1">
        <v>20000000</v>
      </c>
      <c r="T29" s="1">
        <v>1600000</v>
      </c>
      <c r="U29" s="1">
        <v>300000</v>
      </c>
      <c r="V29" s="1">
        <v>200000</v>
      </c>
      <c r="W29" s="1">
        <v>15500000</v>
      </c>
      <c r="X29" s="1">
        <v>0</v>
      </c>
      <c r="Y29" s="1">
        <v>3081818</v>
      </c>
      <c r="Z29" s="1">
        <v>154091</v>
      </c>
      <c r="AA29" s="1">
        <f>Q29-T29-U29-V29-Z29</f>
        <v>25245909</v>
      </c>
      <c r="AB29" s="1">
        <v>3500000</v>
      </c>
      <c r="AC29" s="1">
        <v>600000</v>
      </c>
      <c r="AD29" s="1">
        <v>200000</v>
      </c>
      <c r="AE29" s="1">
        <v>400000</v>
      </c>
      <c r="AF29" s="1">
        <f>Q29+AB29+AC29+AD29+AE29</f>
        <v>32200000</v>
      </c>
      <c r="AG29" s="2" t="s">
        <v>130</v>
      </c>
      <c r="AH29" t="s">
        <v>96</v>
      </c>
      <c r="AI29" s="1">
        <v>0</v>
      </c>
    </row>
    <row r="30" spans="1:35" x14ac:dyDescent="0.25">
      <c r="A30" t="s">
        <v>131</v>
      </c>
      <c r="B30" t="s">
        <v>132</v>
      </c>
      <c r="C30" t="s">
        <v>37</v>
      </c>
      <c r="D30" s="1">
        <v>24000000</v>
      </c>
      <c r="E30" s="1">
        <v>0</v>
      </c>
      <c r="F30" s="1">
        <v>0</v>
      </c>
      <c r="G30" s="2" t="s">
        <v>133</v>
      </c>
      <c r="H30">
        <v>0</v>
      </c>
      <c r="I30">
        <v>22</v>
      </c>
      <c r="J30">
        <v>11</v>
      </c>
      <c r="K30" s="1">
        <f>ROUND((D30+E30+F30)*J30/I30,0)</f>
        <v>12000000</v>
      </c>
      <c r="L30">
        <v>0</v>
      </c>
      <c r="M30">
        <v>0</v>
      </c>
      <c r="N30" s="1">
        <f>ROUND((D30+E30)/I30/8*M30*L30,0)</f>
        <v>0</v>
      </c>
      <c r="O30" s="1">
        <f>0</f>
        <v>0</v>
      </c>
      <c r="P30" s="1">
        <v>0</v>
      </c>
      <c r="Q30" s="1">
        <f>K30+N30+O30+P30+AI30</f>
        <v>28500000</v>
      </c>
      <c r="R30" s="1">
        <f>ROUND((D30+E30)/I30/8*M30*MIN(L30,40),0)+O30+AI30</f>
        <v>16500000</v>
      </c>
      <c r="S30" s="1">
        <v>24000000</v>
      </c>
      <c r="T30" s="1">
        <v>1920000</v>
      </c>
      <c r="U30" s="1">
        <v>360000</v>
      </c>
      <c r="V30" s="1">
        <v>240000</v>
      </c>
      <c r="W30" s="1">
        <v>15500000</v>
      </c>
      <c r="X30" s="1">
        <v>0</v>
      </c>
      <c r="Y30" s="1">
        <v>0</v>
      </c>
      <c r="Z30" s="1">
        <v>0</v>
      </c>
      <c r="AA30" s="1">
        <f>Q30-T30-U30-V30-Z30</f>
        <v>25980000</v>
      </c>
      <c r="AB30" s="1">
        <v>4200000</v>
      </c>
      <c r="AC30" s="1">
        <v>720000</v>
      </c>
      <c r="AD30" s="1">
        <v>240000</v>
      </c>
      <c r="AE30" s="1">
        <v>480000</v>
      </c>
      <c r="AF30" s="1">
        <f>Q30+AB30+AC30+AD30+AE30</f>
        <v>34140000</v>
      </c>
      <c r="AG30" s="2" t="s">
        <v>134</v>
      </c>
      <c r="AH30" t="s">
        <v>135</v>
      </c>
      <c r="AI30" s="1">
        <v>16500000</v>
      </c>
    </row>
    <row r="31" spans="1:35" x14ac:dyDescent="0.25">
      <c r="A31" t="s">
        <v>136</v>
      </c>
      <c r="B31" t="s">
        <v>137</v>
      </c>
      <c r="C31" t="s">
        <v>37</v>
      </c>
      <c r="D31" s="1">
        <v>15000000</v>
      </c>
      <c r="E31" s="1">
        <v>0</v>
      </c>
      <c r="F31" s="1">
        <v>0</v>
      </c>
      <c r="G31" s="2" t="s">
        <v>138</v>
      </c>
      <c r="H31">
        <v>0</v>
      </c>
      <c r="I31">
        <v>22</v>
      </c>
      <c r="J31">
        <v>22</v>
      </c>
      <c r="K31" s="1">
        <f>ROUND((D31+E31+F31)*J31/I31,0)</f>
        <v>15000000</v>
      </c>
      <c r="L31">
        <v>0</v>
      </c>
      <c r="M31">
        <v>0</v>
      </c>
      <c r="N31" s="1">
        <f>ROUND((D31+E31)/I31/8*M31*L31,0)</f>
        <v>0</v>
      </c>
      <c r="O31" s="1">
        <f>0</f>
        <v>0</v>
      </c>
      <c r="P31" s="1">
        <v>0</v>
      </c>
      <c r="Q31" s="1">
        <f>K31+N31+O31+P31+AI31</f>
        <v>45000000</v>
      </c>
      <c r="R31" s="1">
        <f>ROUND((D31+E31)/I31/8*M31*MIN(L31,40),0)+O31+AI31</f>
        <v>30000000</v>
      </c>
      <c r="S31" s="1">
        <v>15000000</v>
      </c>
      <c r="T31" s="1">
        <v>1200000</v>
      </c>
      <c r="U31" s="1">
        <v>225000</v>
      </c>
      <c r="V31" s="1">
        <v>150000</v>
      </c>
      <c r="W31" s="1">
        <v>15500000</v>
      </c>
      <c r="X31" s="1">
        <v>0</v>
      </c>
      <c r="Y31" s="1">
        <v>0</v>
      </c>
      <c r="Z31" s="1">
        <v>0</v>
      </c>
      <c r="AA31" s="1">
        <f>Q31-T31-U31-V31-Z31</f>
        <v>43425000</v>
      </c>
      <c r="AB31" s="1">
        <v>2625000</v>
      </c>
      <c r="AC31" s="1">
        <v>450000</v>
      </c>
      <c r="AD31" s="1">
        <v>150000</v>
      </c>
      <c r="AE31" s="1">
        <v>300000</v>
      </c>
      <c r="AF31" s="1">
        <f>Q31+AB31+AC31+AD31+AE31</f>
        <v>48525000</v>
      </c>
      <c r="AG31" s="2" t="s">
        <v>139</v>
      </c>
      <c r="AH31" t="s">
        <v>140</v>
      </c>
      <c r="AI31" s="1">
        <v>30000000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4" customWidth="1"/>
    <col min="2" max="2" width="40" style="2" customWidth="1"/>
    <col min="3" max="3" width="70" style="2" customWidth="1"/>
    <col min="4" max="4" width="50" style="2" customWidth="1"/>
  </cols>
  <sheetData>
    <row r="1" spans="1:4" s="5" customFormat="1" x14ac:dyDescent="0.25">
      <c r="A1" s="5" t="s">
        <v>141</v>
      </c>
      <c r="B1" s="3" t="s">
        <v>142</v>
      </c>
      <c r="C1" s="3" t="s">
        <v>143</v>
      </c>
      <c r="D1" s="3" t="s">
        <v>144</v>
      </c>
    </row>
    <row r="2" spans="1:4" x14ac:dyDescent="0.25">
      <c r="A2">
        <v>1</v>
      </c>
      <c r="B2" s="2" t="s">
        <v>145</v>
      </c>
      <c r="C2" s="2" t="s">
        <v>146</v>
      </c>
      <c r="D2" s="2" t="s">
        <v>147</v>
      </c>
    </row>
    <row r="3" spans="1:4" x14ac:dyDescent="0.25">
      <c r="A3">
        <v>2</v>
      </c>
      <c r="B3" s="2" t="s">
        <v>8</v>
      </c>
      <c r="C3" s="2" t="s">
        <v>148</v>
      </c>
      <c r="D3" s="2" t="s">
        <v>149</v>
      </c>
    </row>
    <row r="4" spans="1:4" x14ac:dyDescent="0.25">
      <c r="A4">
        <v>3</v>
      </c>
      <c r="B4" s="2" t="s">
        <v>150</v>
      </c>
      <c r="C4" s="2" t="s">
        <v>151</v>
      </c>
      <c r="D4" s="2" t="s">
        <v>152</v>
      </c>
    </row>
    <row r="5" spans="1:4" x14ac:dyDescent="0.25">
      <c r="A5">
        <v>4</v>
      </c>
      <c r="B5" s="2" t="s">
        <v>153</v>
      </c>
      <c r="C5" s="2" t="s">
        <v>154</v>
      </c>
      <c r="D5" s="2" t="s">
        <v>155</v>
      </c>
    </row>
    <row r="6" spans="1:4" x14ac:dyDescent="0.25">
      <c r="A6">
        <v>5</v>
      </c>
      <c r="B6" s="2" t="s">
        <v>156</v>
      </c>
      <c r="C6" s="2" t="s">
        <v>157</v>
      </c>
      <c r="D6" s="2" t="s">
        <v>158</v>
      </c>
    </row>
    <row r="7" spans="1:4" x14ac:dyDescent="0.25">
      <c r="A7">
        <v>6</v>
      </c>
      <c r="B7" s="2" t="s">
        <v>159</v>
      </c>
      <c r="C7" s="2" t="s">
        <v>160</v>
      </c>
      <c r="D7" s="2" t="s">
        <v>161</v>
      </c>
    </row>
    <row r="8" spans="1:4" x14ac:dyDescent="0.25">
      <c r="A8">
        <v>7</v>
      </c>
      <c r="B8" s="2" t="s">
        <v>12</v>
      </c>
      <c r="C8" s="2" t="s">
        <v>162</v>
      </c>
      <c r="D8" s="2" t="s">
        <v>163</v>
      </c>
    </row>
    <row r="9" spans="1:4" x14ac:dyDescent="0.25">
      <c r="A9">
        <v>8</v>
      </c>
      <c r="B9" s="2" t="s">
        <v>164</v>
      </c>
      <c r="C9" s="2" t="s">
        <v>165</v>
      </c>
      <c r="D9" s="2" t="s">
        <v>166</v>
      </c>
    </row>
    <row r="10" spans="1:4" x14ac:dyDescent="0.25">
      <c r="A10">
        <v>9</v>
      </c>
      <c r="B10" s="2" t="s">
        <v>167</v>
      </c>
      <c r="C10" s="2" t="s">
        <v>168</v>
      </c>
      <c r="D10" s="2" t="s">
        <v>169</v>
      </c>
    </row>
    <row r="11" spans="1:4" x14ac:dyDescent="0.25">
      <c r="A11">
        <v>10</v>
      </c>
      <c r="B11" s="2" t="s">
        <v>170</v>
      </c>
      <c r="C11" s="2" t="s">
        <v>171</v>
      </c>
      <c r="D11" s="2" t="s">
        <v>172</v>
      </c>
    </row>
    <row r="12" spans="1:4" x14ac:dyDescent="0.25">
      <c r="A12">
        <v>11</v>
      </c>
      <c r="B12" s="2" t="s">
        <v>18</v>
      </c>
      <c r="C12" s="2" t="s">
        <v>173</v>
      </c>
      <c r="D12" s="2" t="s">
        <v>174</v>
      </c>
    </row>
    <row r="13" spans="1:4" x14ac:dyDescent="0.25">
      <c r="A13">
        <v>12</v>
      </c>
      <c r="B13" s="2" t="s">
        <v>175</v>
      </c>
      <c r="C13" s="2" t="s">
        <v>176</v>
      </c>
      <c r="D13" s="2" t="s">
        <v>177</v>
      </c>
    </row>
    <row r="14" spans="1:4" x14ac:dyDescent="0.25">
      <c r="A14">
        <v>13</v>
      </c>
      <c r="B14" s="2" t="s">
        <v>178</v>
      </c>
      <c r="C14" s="2" t="s">
        <v>179</v>
      </c>
      <c r="D14" s="2" t="s">
        <v>180</v>
      </c>
    </row>
    <row r="15" spans="1:4" x14ac:dyDescent="0.25">
      <c r="A15">
        <v>14</v>
      </c>
      <c r="B15" s="2" t="s">
        <v>181</v>
      </c>
      <c r="C15" s="2" t="s">
        <v>182</v>
      </c>
      <c r="D15" s="2" t="s">
        <v>183</v>
      </c>
    </row>
    <row r="16" spans="1:4" x14ac:dyDescent="0.25">
      <c r="A16">
        <v>15</v>
      </c>
      <c r="B16" s="2" t="s">
        <v>184</v>
      </c>
      <c r="C16" s="2" t="s">
        <v>185</v>
      </c>
      <c r="D16" s="2" t="s">
        <v>186</v>
      </c>
    </row>
    <row r="17" spans="1:4" x14ac:dyDescent="0.25">
      <c r="A17">
        <v>16</v>
      </c>
      <c r="B17" s="2" t="s">
        <v>187</v>
      </c>
      <c r="C17" s="2" t="s">
        <v>188</v>
      </c>
      <c r="D17" s="2" t="s">
        <v>189</v>
      </c>
    </row>
    <row r="18" spans="1:4" x14ac:dyDescent="0.25">
      <c r="A18">
        <v>17</v>
      </c>
      <c r="B18" s="2" t="s">
        <v>190</v>
      </c>
      <c r="C18" s="2" t="s">
        <v>191</v>
      </c>
      <c r="D18" s="2" t="s">
        <v>192</v>
      </c>
    </row>
    <row r="19" spans="1:4" x14ac:dyDescent="0.25">
      <c r="A19">
        <v>18</v>
      </c>
      <c r="B19" s="2" t="s">
        <v>193</v>
      </c>
      <c r="C19" s="2" t="s">
        <v>194</v>
      </c>
      <c r="D19" s="2" t="s">
        <v>195</v>
      </c>
    </row>
    <row r="20" spans="1:4" x14ac:dyDescent="0.25">
      <c r="A20">
        <v>19</v>
      </c>
      <c r="B20" s="2" t="s">
        <v>196</v>
      </c>
      <c r="C20" s="2" t="s">
        <v>197</v>
      </c>
      <c r="D20" s="2" t="s">
        <v>198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45" customWidth="1"/>
    <col min="2" max="2" width="22" style="1" customWidth="1"/>
    <col min="3" max="3" width="22" customWidth="1"/>
    <col min="4" max="4" width="60" customWidth="1"/>
  </cols>
  <sheetData>
    <row r="1" spans="1:4" s="5" customFormat="1" x14ac:dyDescent="0.25">
      <c r="A1" s="5" t="s">
        <v>199</v>
      </c>
      <c r="B1" s="6" t="s">
        <v>200</v>
      </c>
      <c r="C1" s="5" t="s">
        <v>201</v>
      </c>
      <c r="D1" s="5" t="s">
        <v>144</v>
      </c>
    </row>
    <row r="2" spans="1:4" x14ac:dyDescent="0.25">
      <c r="A2" t="s">
        <v>202</v>
      </c>
      <c r="B2" s="1">
        <v>5310000</v>
      </c>
      <c r="C2" t="s">
        <v>203</v>
      </c>
      <c r="D2" t="s">
        <v>204</v>
      </c>
    </row>
    <row r="3" spans="1:4" x14ac:dyDescent="0.25">
      <c r="A3" t="s">
        <v>205</v>
      </c>
      <c r="B3" s="1">
        <v>2340000</v>
      </c>
      <c r="C3" t="s">
        <v>206</v>
      </c>
      <c r="D3" t="s">
        <v>207</v>
      </c>
    </row>
    <row r="4" spans="1:4" x14ac:dyDescent="0.25">
      <c r="A4" t="s">
        <v>205</v>
      </c>
      <c r="B4" s="1">
        <v>2530000</v>
      </c>
      <c r="C4" t="s">
        <v>208</v>
      </c>
      <c r="D4" t="s">
        <v>209</v>
      </c>
    </row>
    <row r="5" spans="1:4" x14ac:dyDescent="0.25">
      <c r="A5" t="s">
        <v>210</v>
      </c>
      <c r="B5" s="1">
        <v>46800000</v>
      </c>
      <c r="C5" t="s">
        <v>206</v>
      </c>
      <c r="D5" t="s">
        <v>158</v>
      </c>
    </row>
    <row r="6" spans="1:4" x14ac:dyDescent="0.25">
      <c r="A6" t="s">
        <v>211</v>
      </c>
      <c r="B6" s="1">
        <v>50600000</v>
      </c>
      <c r="C6" t="s">
        <v>208</v>
      </c>
      <c r="D6" t="s">
        <v>158</v>
      </c>
    </row>
    <row r="7" spans="1:4" x14ac:dyDescent="0.25">
      <c r="A7" t="s">
        <v>212</v>
      </c>
      <c r="B7" s="1">
        <v>106200000</v>
      </c>
      <c r="C7" t="s">
        <v>203</v>
      </c>
      <c r="D7" t="s">
        <v>213</v>
      </c>
    </row>
    <row r="8" spans="1:4" x14ac:dyDescent="0.25">
      <c r="A8" t="s">
        <v>214</v>
      </c>
      <c r="B8" s="1" t="s">
        <v>215</v>
      </c>
      <c r="C8" t="s">
        <v>39</v>
      </c>
      <c r="D8" t="s">
        <v>216</v>
      </c>
    </row>
    <row r="9" spans="1:4" x14ac:dyDescent="0.25">
      <c r="A9" t="s">
        <v>22</v>
      </c>
      <c r="B9" s="1">
        <v>15500000</v>
      </c>
      <c r="C9" t="s">
        <v>217</v>
      </c>
      <c r="D9" t="s">
        <v>218</v>
      </c>
    </row>
    <row r="10" spans="1:4" x14ac:dyDescent="0.25">
      <c r="A10" t="s">
        <v>219</v>
      </c>
      <c r="B10" s="1">
        <v>6200000</v>
      </c>
      <c r="C10" t="s">
        <v>217</v>
      </c>
      <c r="D10" t="s">
        <v>218</v>
      </c>
    </row>
    <row r="11" spans="1:4" x14ac:dyDescent="0.25">
      <c r="A11" t="s">
        <v>220</v>
      </c>
      <c r="B11" s="1" t="s">
        <v>221</v>
      </c>
      <c r="C11" t="s">
        <v>217</v>
      </c>
      <c r="D11" t="s">
        <v>192</v>
      </c>
    </row>
    <row r="12" spans="1:4" x14ac:dyDescent="0.25">
      <c r="A12" t="s">
        <v>222</v>
      </c>
      <c r="B12" s="1" t="s">
        <v>223</v>
      </c>
      <c r="C12" t="s">
        <v>39</v>
      </c>
      <c r="D12" t="s">
        <v>224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customWidth="1"/>
    <col min="2" max="2" width="110" style="2" customWidth="1"/>
  </cols>
  <sheetData>
    <row r="1" spans="1:2" s="5" customFormat="1" x14ac:dyDescent="0.25">
      <c r="A1" s="5" t="s">
        <v>225</v>
      </c>
      <c r="B1" s="3" t="s">
        <v>226</v>
      </c>
    </row>
    <row r="2" spans="1:2" x14ac:dyDescent="0.25">
      <c r="A2" t="s">
        <v>227</v>
      </c>
      <c r="B2" s="2" t="s">
        <v>228</v>
      </c>
    </row>
    <row r="3" spans="1:2" x14ac:dyDescent="0.25">
      <c r="A3" t="s">
        <v>229</v>
      </c>
      <c r="B3" s="2" t="s">
        <v>230</v>
      </c>
    </row>
    <row r="4" spans="1:2" x14ac:dyDescent="0.25">
      <c r="A4" t="s">
        <v>231</v>
      </c>
      <c r="B4" s="2" t="s">
        <v>232</v>
      </c>
    </row>
    <row r="5" spans="1:2" x14ac:dyDescent="0.25">
      <c r="A5" t="s">
        <v>233</v>
      </c>
      <c r="B5" s="2" t="s">
        <v>234</v>
      </c>
    </row>
    <row r="6" spans="1:2" x14ac:dyDescent="0.25">
      <c r="A6" t="s">
        <v>235</v>
      </c>
      <c r="B6" s="2" t="s">
        <v>236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Bộ mẫu</vt:lpstr>
      <vt:lpstr>Giả định</vt:lpstr>
      <vt:lpstr>Tham số</vt:lpstr>
      <vt:lpstr>Nguồn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2026-10-28T09:52:11Z</dcterms:created>
  <dcterms:modified xsi:type="dcterms:W3CDTF">2026-10-28T09:52:11Z</dcterms:modified>
</cp:coreProperties>
</file>